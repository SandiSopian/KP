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llege\Kuliah Praktek (KP)\Dokumen KP\"/>
    </mc:Choice>
  </mc:AlternateContent>
  <xr:revisionPtr revIDLastSave="0" documentId="8_{E67CABBE-B10F-44D9-9EFB-8C97EAE95801}" xr6:coauthVersionLast="45" xr6:coauthVersionMax="45" xr10:uidLastSave="{00000000-0000-0000-0000-000000000000}"/>
  <bookViews>
    <workbookView xWindow="-120" yWindow="-120" windowWidth="20730" windowHeight="11160" activeTab="1" xr2:uid="{6D8A35C2-C33C-4A54-BB16-9076A4496778}"/>
  </bookViews>
  <sheets>
    <sheet name="Input Data" sheetId="8" r:id="rId1"/>
    <sheet name="Aplikasi Perhitungan" sheetId="9" r:id="rId2"/>
    <sheet name="Status Order" sheetId="10" r:id="rId3"/>
  </sheets>
  <definedNames>
    <definedName name="_xlnm._FilterDatabase" localSheetId="1" hidden="1">'Aplikasi Perhitungan'!$A$5:$L$150</definedName>
    <definedName name="_xlnm._FilterDatabase" localSheetId="0" hidden="1">'Input Data'!$B$7:$I$37</definedName>
    <definedName name="_xlnm._FilterDatabase" localSheetId="2" hidden="1">'Status Order'!$B$2:$C$50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9" l="1"/>
  <c r="J7" i="9"/>
  <c r="I116" i="9" l="1"/>
  <c r="I117" i="9"/>
  <c r="I118" i="9"/>
  <c r="I119" i="9"/>
  <c r="I120" i="9"/>
  <c r="I122" i="9"/>
  <c r="I123" i="9"/>
  <c r="I124" i="9"/>
  <c r="I125" i="9"/>
  <c r="I126" i="9"/>
  <c r="I127" i="9"/>
  <c r="I128" i="9"/>
  <c r="I129" i="9"/>
  <c r="I130" i="9"/>
  <c r="I131" i="9"/>
  <c r="I132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10" i="9"/>
  <c r="I111" i="9"/>
  <c r="I112" i="9"/>
  <c r="I113" i="9"/>
  <c r="I114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79" i="9"/>
  <c r="I115" i="9"/>
  <c r="G7" i="10" l="1"/>
  <c r="C7" i="10"/>
  <c r="D7" i="10" s="1"/>
  <c r="G6" i="10"/>
  <c r="G5" i="10"/>
  <c r="G4" i="10"/>
  <c r="C4" i="10"/>
  <c r="C33" i="10" l="1"/>
  <c r="D4" i="10"/>
  <c r="D121" i="9"/>
  <c r="D122" i="9" s="1"/>
  <c r="D123" i="9" s="1"/>
  <c r="D124" i="9" s="1"/>
  <c r="D125" i="9" s="1"/>
  <c r="D126" i="9" s="1"/>
  <c r="D127" i="9"/>
  <c r="D128" i="9" s="1"/>
  <c r="D129" i="9" s="1"/>
  <c r="D130" i="9" s="1"/>
  <c r="D131" i="9" s="1"/>
  <c r="D132" i="9" s="1"/>
  <c r="D133" i="9"/>
  <c r="D134" i="9" s="1"/>
  <c r="D135" i="9" s="1"/>
  <c r="D136" i="9" s="1"/>
  <c r="D137" i="9" s="1"/>
  <c r="D138" i="9" s="1"/>
  <c r="D139" i="9"/>
  <c r="D140" i="9" s="1"/>
  <c r="D141" i="9" s="1"/>
  <c r="D142" i="9" s="1"/>
  <c r="D143" i="9" s="1"/>
  <c r="D144" i="9" s="1"/>
  <c r="D145" i="9"/>
  <c r="D146" i="9" s="1"/>
  <c r="D147" i="9" s="1"/>
  <c r="D148" i="9" s="1"/>
  <c r="D149" i="9" s="1"/>
  <c r="D150" i="9" s="1"/>
  <c r="D115" i="9"/>
  <c r="D116" i="9" s="1"/>
  <c r="D117" i="9" s="1"/>
  <c r="D118" i="9" s="1"/>
  <c r="D119" i="9" s="1"/>
  <c r="D120" i="9" s="1"/>
  <c r="D85" i="9"/>
  <c r="D86" i="9" s="1"/>
  <c r="D87" i="9" s="1"/>
  <c r="D88" i="9" s="1"/>
  <c r="D89" i="9" s="1"/>
  <c r="D90" i="9" s="1"/>
  <c r="D91" i="9"/>
  <c r="D92" i="9" s="1"/>
  <c r="D93" i="9" s="1"/>
  <c r="D94" i="9" s="1"/>
  <c r="D95" i="9" s="1"/>
  <c r="D96" i="9" s="1"/>
  <c r="D97" i="9"/>
  <c r="D98" i="9" s="1"/>
  <c r="D99" i="9" s="1"/>
  <c r="D100" i="9" s="1"/>
  <c r="D101" i="9" s="1"/>
  <c r="D102" i="9" s="1"/>
  <c r="D103" i="9"/>
  <c r="D104" i="9" s="1"/>
  <c r="D105" i="9" s="1"/>
  <c r="D106" i="9" s="1"/>
  <c r="D107" i="9" s="1"/>
  <c r="D108" i="9" s="1"/>
  <c r="D109" i="9"/>
  <c r="D110" i="9" s="1"/>
  <c r="D111" i="9" s="1"/>
  <c r="D112" i="9" s="1"/>
  <c r="D113" i="9" s="1"/>
  <c r="D114" i="9" s="1"/>
  <c r="D79" i="9"/>
  <c r="D80" i="9" s="1"/>
  <c r="D81" i="9" s="1"/>
  <c r="D82" i="9" s="1"/>
  <c r="D83" i="9" s="1"/>
  <c r="D84" i="9" s="1"/>
  <c r="D49" i="9"/>
  <c r="D50" i="9" s="1"/>
  <c r="D51" i="9" s="1"/>
  <c r="D52" i="9" s="1"/>
  <c r="D53" i="9" s="1"/>
  <c r="D54" i="9" s="1"/>
  <c r="D55" i="9"/>
  <c r="D56" i="9" s="1"/>
  <c r="D57" i="9" s="1"/>
  <c r="D58" i="9" s="1"/>
  <c r="D59" i="9" s="1"/>
  <c r="D60" i="9" s="1"/>
  <c r="D61" i="9"/>
  <c r="D62" i="9" s="1"/>
  <c r="D63" i="9" s="1"/>
  <c r="D64" i="9" s="1"/>
  <c r="D65" i="9" s="1"/>
  <c r="D66" i="9" s="1"/>
  <c r="D67" i="9"/>
  <c r="D68" i="9"/>
  <c r="D69" i="9" s="1"/>
  <c r="D70" i="9" s="1"/>
  <c r="D71" i="9" s="1"/>
  <c r="D72" i="9" s="1"/>
  <c r="D73" i="9"/>
  <c r="D74" i="9" s="1"/>
  <c r="D75" i="9" s="1"/>
  <c r="D76" i="9" s="1"/>
  <c r="D77" i="9" s="1"/>
  <c r="D78" i="9" s="1"/>
  <c r="D43" i="9"/>
  <c r="D44" i="9" s="1"/>
  <c r="D45" i="9" s="1"/>
  <c r="D46" i="9" s="1"/>
  <c r="D47" i="9" s="1"/>
  <c r="D48" i="9" s="1"/>
  <c r="D13" i="9"/>
  <c r="D14" i="9"/>
  <c r="D15" i="9" s="1"/>
  <c r="D16" i="9" s="1"/>
  <c r="D17" i="9" s="1"/>
  <c r="D18" i="9" s="1"/>
  <c r="D19" i="9"/>
  <c r="D25" i="9"/>
  <c r="D26" i="9" s="1"/>
  <c r="D27" i="9" s="1"/>
  <c r="D28" i="9" s="1"/>
  <c r="D29" i="9" s="1"/>
  <c r="D30" i="9" s="1"/>
  <c r="D31" i="9"/>
  <c r="D32" i="9" s="1"/>
  <c r="D33" i="9" s="1"/>
  <c r="D34" i="9" s="1"/>
  <c r="D35" i="9" s="1"/>
  <c r="D36" i="9" s="1"/>
  <c r="D37" i="9"/>
  <c r="D38" i="9" s="1"/>
  <c r="D39" i="9" s="1"/>
  <c r="D40" i="9" s="1"/>
  <c r="D41" i="9" s="1"/>
  <c r="D42" i="9" s="1"/>
  <c r="D7" i="9"/>
  <c r="D8" i="9" s="1"/>
  <c r="C121" i="9"/>
  <c r="C127" i="9"/>
  <c r="C133" i="9"/>
  <c r="C139" i="9"/>
  <c r="C145" i="9"/>
  <c r="C85" i="9"/>
  <c r="C91" i="9"/>
  <c r="C97" i="9"/>
  <c r="C103" i="9"/>
  <c r="C109" i="9"/>
  <c r="C49" i="9"/>
  <c r="C50" i="9" s="1"/>
  <c r="C51" i="9" s="1"/>
  <c r="C52" i="9" s="1"/>
  <c r="C53" i="9" s="1"/>
  <c r="C54" i="9" s="1"/>
  <c r="C55" i="9"/>
  <c r="C56" i="9" s="1"/>
  <c r="C57" i="9" s="1"/>
  <c r="C58" i="9" s="1"/>
  <c r="C59" i="9" s="1"/>
  <c r="C60" i="9" s="1"/>
  <c r="C61" i="9"/>
  <c r="C62" i="9" s="1"/>
  <c r="C63" i="9" s="1"/>
  <c r="C64" i="9" s="1"/>
  <c r="C65" i="9" s="1"/>
  <c r="C66" i="9" s="1"/>
  <c r="C67" i="9"/>
  <c r="C68" i="9"/>
  <c r="C69" i="9" s="1"/>
  <c r="C70" i="9" s="1"/>
  <c r="C71" i="9" s="1"/>
  <c r="C72" i="9" s="1"/>
  <c r="C73" i="9"/>
  <c r="C74" i="9" s="1"/>
  <c r="C75" i="9" s="1"/>
  <c r="C76" i="9" s="1"/>
  <c r="C77" i="9" s="1"/>
  <c r="C78" i="9" s="1"/>
  <c r="C43" i="9"/>
  <c r="C44" i="9" s="1"/>
  <c r="C45" i="9" s="1"/>
  <c r="C46" i="9" s="1"/>
  <c r="C47" i="9" s="1"/>
  <c r="C48" i="9" s="1"/>
  <c r="C37" i="9"/>
  <c r="C38" i="9" s="1"/>
  <c r="C39" i="9" s="1"/>
  <c r="C40" i="9" s="1"/>
  <c r="C41" i="9" s="1"/>
  <c r="C42" i="9" s="1"/>
  <c r="C13" i="9"/>
  <c r="C14" i="9" s="1"/>
  <c r="C15" i="9" s="1"/>
  <c r="C16" i="9" s="1"/>
  <c r="C17" i="9" s="1"/>
  <c r="C18" i="9" s="1"/>
  <c r="C19" i="9"/>
  <c r="C20" i="9" s="1"/>
  <c r="C21" i="9" s="1"/>
  <c r="C22" i="9" s="1"/>
  <c r="C23" i="9" s="1"/>
  <c r="C24" i="9" s="1"/>
  <c r="C25" i="9"/>
  <c r="C26" i="9" s="1"/>
  <c r="C27" i="9" s="1"/>
  <c r="C28" i="9" s="1"/>
  <c r="C29" i="9" s="1"/>
  <c r="C30" i="9" s="1"/>
  <c r="C31" i="9"/>
  <c r="C32" i="9" s="1"/>
  <c r="C33" i="9" s="1"/>
  <c r="C34" i="9" s="1"/>
  <c r="C35" i="9" s="1"/>
  <c r="C36" i="9" s="1"/>
  <c r="C7" i="9"/>
  <c r="C8" i="9" s="1"/>
  <c r="C9" i="9" s="1"/>
  <c r="C10" i="9" s="1"/>
  <c r="C11" i="9" s="1"/>
  <c r="C12" i="9" s="1"/>
  <c r="B121" i="9"/>
  <c r="B122" i="9" s="1"/>
  <c r="B123" i="9" s="1"/>
  <c r="B124" i="9" s="1"/>
  <c r="B125" i="9" s="1"/>
  <c r="B126" i="9" s="1"/>
  <c r="B127" i="9"/>
  <c r="B128" i="9" s="1"/>
  <c r="B129" i="9" s="1"/>
  <c r="B130" i="9" s="1"/>
  <c r="B131" i="9" s="1"/>
  <c r="B132" i="9" s="1"/>
  <c r="B133" i="9"/>
  <c r="B134" i="9" s="1"/>
  <c r="B135" i="9" s="1"/>
  <c r="B136" i="9" s="1"/>
  <c r="B137" i="9" s="1"/>
  <c r="B138" i="9" s="1"/>
  <c r="B139" i="9"/>
  <c r="B140" i="9" s="1"/>
  <c r="B141" i="9" s="1"/>
  <c r="B142" i="9" s="1"/>
  <c r="B143" i="9" s="1"/>
  <c r="B144" i="9" s="1"/>
  <c r="B145" i="9"/>
  <c r="B146" i="9" s="1"/>
  <c r="B147" i="9" s="1"/>
  <c r="B148" i="9" s="1"/>
  <c r="B149" i="9" s="1"/>
  <c r="B150" i="9" s="1"/>
  <c r="B115" i="9"/>
  <c r="B116" i="9" s="1"/>
  <c r="B117" i="9" s="1"/>
  <c r="B118" i="9" s="1"/>
  <c r="B119" i="9" s="1"/>
  <c r="B120" i="9" s="1"/>
  <c r="B85" i="9"/>
  <c r="B86" i="9" s="1"/>
  <c r="B87" i="9" s="1"/>
  <c r="B88" i="9" s="1"/>
  <c r="B89" i="9" s="1"/>
  <c r="B90" i="9" s="1"/>
  <c r="B91" i="9"/>
  <c r="B92" i="9"/>
  <c r="B93" i="9" s="1"/>
  <c r="B94" i="9" s="1"/>
  <c r="B95" i="9" s="1"/>
  <c r="B96" i="9" s="1"/>
  <c r="B97" i="9"/>
  <c r="B98" i="9" s="1"/>
  <c r="B99" i="9" s="1"/>
  <c r="B100" i="9" s="1"/>
  <c r="B101" i="9" s="1"/>
  <c r="B102" i="9" s="1"/>
  <c r="B103" i="9"/>
  <c r="B104" i="9" s="1"/>
  <c r="B105" i="9" s="1"/>
  <c r="B106" i="9" s="1"/>
  <c r="B107" i="9" s="1"/>
  <c r="B108" i="9" s="1"/>
  <c r="B109" i="9"/>
  <c r="B110" i="9" s="1"/>
  <c r="B111" i="9" s="1"/>
  <c r="B112" i="9" s="1"/>
  <c r="B113" i="9" s="1"/>
  <c r="B114" i="9" s="1"/>
  <c r="B79" i="9"/>
  <c r="B80" i="9" s="1"/>
  <c r="B81" i="9" s="1"/>
  <c r="B82" i="9" s="1"/>
  <c r="B83" i="9" s="1"/>
  <c r="B84" i="9" s="1"/>
  <c r="B49" i="9"/>
  <c r="B50" i="9" s="1"/>
  <c r="B51" i="9" s="1"/>
  <c r="B52" i="9" s="1"/>
  <c r="B53" i="9" s="1"/>
  <c r="B54" i="9" s="1"/>
  <c r="B55" i="9"/>
  <c r="B56" i="9" s="1"/>
  <c r="B57" i="9" s="1"/>
  <c r="B58" i="9" s="1"/>
  <c r="B59" i="9" s="1"/>
  <c r="B60" i="9" s="1"/>
  <c r="B61" i="9"/>
  <c r="B62" i="9" s="1"/>
  <c r="B63" i="9" s="1"/>
  <c r="B64" i="9" s="1"/>
  <c r="B65" i="9" s="1"/>
  <c r="B66" i="9" s="1"/>
  <c r="B67" i="9"/>
  <c r="B68" i="9" s="1"/>
  <c r="B69" i="9" s="1"/>
  <c r="B70" i="9" s="1"/>
  <c r="B71" i="9" s="1"/>
  <c r="B72" i="9" s="1"/>
  <c r="B73" i="9"/>
  <c r="B74" i="9" s="1"/>
  <c r="B75" i="9" s="1"/>
  <c r="B76" i="9" s="1"/>
  <c r="B77" i="9" s="1"/>
  <c r="B78" i="9" s="1"/>
  <c r="B43" i="9"/>
  <c r="B44" i="9" s="1"/>
  <c r="B45" i="9" s="1"/>
  <c r="B46" i="9" s="1"/>
  <c r="B47" i="9" s="1"/>
  <c r="B48" i="9" s="1"/>
  <c r="B13" i="9"/>
  <c r="B14" i="9" s="1"/>
  <c r="B15" i="9" s="1"/>
  <c r="B16" i="9" s="1"/>
  <c r="B17" i="9" s="1"/>
  <c r="B18" i="9" s="1"/>
  <c r="B19" i="9"/>
  <c r="B20" i="9" s="1"/>
  <c r="B21" i="9" s="1"/>
  <c r="B22" i="9" s="1"/>
  <c r="B23" i="9" s="1"/>
  <c r="B24" i="9" s="1"/>
  <c r="B25" i="9"/>
  <c r="B26" i="9" s="1"/>
  <c r="B27" i="9" s="1"/>
  <c r="B28" i="9" s="1"/>
  <c r="B29" i="9" s="1"/>
  <c r="B30" i="9" s="1"/>
  <c r="B31" i="9"/>
  <c r="B32" i="9" s="1"/>
  <c r="B33" i="9" s="1"/>
  <c r="B34" i="9" s="1"/>
  <c r="B35" i="9" s="1"/>
  <c r="B36" i="9" s="1"/>
  <c r="B37" i="9"/>
  <c r="B38" i="9" s="1"/>
  <c r="B39" i="9" s="1"/>
  <c r="B40" i="9" s="1"/>
  <c r="B41" i="9" s="1"/>
  <c r="B42" i="9" s="1"/>
  <c r="B7" i="9"/>
  <c r="B8" i="9" s="1"/>
  <c r="B9" i="9" s="1"/>
  <c r="B10" i="9" s="1"/>
  <c r="B11" i="9" s="1"/>
  <c r="B12" i="9" s="1"/>
  <c r="A116" i="9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80" i="9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44" i="9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8" i="9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D9" i="9" l="1"/>
  <c r="D10" i="9" s="1"/>
  <c r="D11" i="9" s="1"/>
  <c r="D12" i="9" s="1"/>
  <c r="H58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15" i="9"/>
  <c r="E116" i="9"/>
  <c r="F116" i="9" s="1"/>
  <c r="E117" i="9"/>
  <c r="F117" i="9" s="1"/>
  <c r="E118" i="9"/>
  <c r="F118" i="9" s="1"/>
  <c r="E119" i="9"/>
  <c r="F119" i="9" s="1"/>
  <c r="E120" i="9"/>
  <c r="F120" i="9" s="1"/>
  <c r="E121" i="9"/>
  <c r="F121" i="9" s="1"/>
  <c r="E122" i="9"/>
  <c r="F122" i="9" s="1"/>
  <c r="E123" i="9"/>
  <c r="F123" i="9" s="1"/>
  <c r="E124" i="9"/>
  <c r="F124" i="9" s="1"/>
  <c r="E125" i="9"/>
  <c r="F125" i="9" s="1"/>
  <c r="E126" i="9"/>
  <c r="F126" i="9" s="1"/>
  <c r="E127" i="9"/>
  <c r="F127" i="9" s="1"/>
  <c r="E128" i="9"/>
  <c r="F128" i="9" s="1"/>
  <c r="E129" i="9"/>
  <c r="F129" i="9" s="1"/>
  <c r="E130" i="9"/>
  <c r="F130" i="9" s="1"/>
  <c r="E131" i="9"/>
  <c r="F131" i="9" s="1"/>
  <c r="E132" i="9"/>
  <c r="F132" i="9" s="1"/>
  <c r="E133" i="9"/>
  <c r="F133" i="9" s="1"/>
  <c r="E134" i="9"/>
  <c r="F134" i="9" s="1"/>
  <c r="E135" i="9"/>
  <c r="F135" i="9" s="1"/>
  <c r="E136" i="9"/>
  <c r="F136" i="9" s="1"/>
  <c r="E137" i="9"/>
  <c r="F137" i="9" s="1"/>
  <c r="E138" i="9"/>
  <c r="F138" i="9" s="1"/>
  <c r="E139" i="9"/>
  <c r="F139" i="9" s="1"/>
  <c r="E140" i="9"/>
  <c r="F140" i="9" s="1"/>
  <c r="E141" i="9"/>
  <c r="F141" i="9" s="1"/>
  <c r="E142" i="9"/>
  <c r="F142" i="9" s="1"/>
  <c r="E143" i="9"/>
  <c r="F143" i="9" s="1"/>
  <c r="E144" i="9"/>
  <c r="F144" i="9" s="1"/>
  <c r="E145" i="9"/>
  <c r="F145" i="9" s="1"/>
  <c r="E146" i="9"/>
  <c r="F146" i="9" s="1"/>
  <c r="E147" i="9"/>
  <c r="F147" i="9" s="1"/>
  <c r="E148" i="9"/>
  <c r="F148" i="9" s="1"/>
  <c r="E149" i="9"/>
  <c r="F149" i="9" s="1"/>
  <c r="E150" i="9"/>
  <c r="F150" i="9" s="1"/>
  <c r="E115" i="9"/>
  <c r="F115" i="9" s="1"/>
  <c r="C115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79" i="9"/>
  <c r="K79" i="9"/>
  <c r="L79" i="9" s="1"/>
  <c r="L80" i="9" s="1"/>
  <c r="L81" i="9" s="1"/>
  <c r="L82" i="9" s="1"/>
  <c r="L83" i="9" s="1"/>
  <c r="L84" i="9" s="1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79" i="9"/>
  <c r="E80" i="9"/>
  <c r="F80" i="9" s="1"/>
  <c r="E81" i="9"/>
  <c r="F81" i="9" s="1"/>
  <c r="E82" i="9"/>
  <c r="F82" i="9" s="1"/>
  <c r="E83" i="9"/>
  <c r="F83" i="9" s="1"/>
  <c r="E84" i="9"/>
  <c r="F84" i="9" s="1"/>
  <c r="E85" i="9"/>
  <c r="F85" i="9" s="1"/>
  <c r="E86" i="9"/>
  <c r="F86" i="9" s="1"/>
  <c r="E87" i="9"/>
  <c r="F87" i="9" s="1"/>
  <c r="E88" i="9"/>
  <c r="F88" i="9" s="1"/>
  <c r="E89" i="9"/>
  <c r="F89" i="9" s="1"/>
  <c r="E90" i="9"/>
  <c r="F90" i="9" s="1"/>
  <c r="E91" i="9"/>
  <c r="F91" i="9" s="1"/>
  <c r="E92" i="9"/>
  <c r="F92" i="9" s="1"/>
  <c r="E93" i="9"/>
  <c r="F93" i="9" s="1"/>
  <c r="E94" i="9"/>
  <c r="F94" i="9" s="1"/>
  <c r="E95" i="9"/>
  <c r="F95" i="9" s="1"/>
  <c r="E96" i="9"/>
  <c r="F96" i="9" s="1"/>
  <c r="E97" i="9"/>
  <c r="F97" i="9" s="1"/>
  <c r="E98" i="9"/>
  <c r="F98" i="9" s="1"/>
  <c r="E99" i="9"/>
  <c r="F99" i="9" s="1"/>
  <c r="E100" i="9"/>
  <c r="F100" i="9" s="1"/>
  <c r="E101" i="9"/>
  <c r="F101" i="9" s="1"/>
  <c r="E102" i="9"/>
  <c r="F102" i="9" s="1"/>
  <c r="E103" i="9"/>
  <c r="F103" i="9" s="1"/>
  <c r="E104" i="9"/>
  <c r="F104" i="9" s="1"/>
  <c r="E105" i="9"/>
  <c r="F105" i="9" s="1"/>
  <c r="E106" i="9"/>
  <c r="F106" i="9" s="1"/>
  <c r="E107" i="9"/>
  <c r="F107" i="9" s="1"/>
  <c r="E108" i="9"/>
  <c r="F108" i="9" s="1"/>
  <c r="E109" i="9"/>
  <c r="F109" i="9" s="1"/>
  <c r="E110" i="9"/>
  <c r="F110" i="9" s="1"/>
  <c r="E111" i="9"/>
  <c r="F111" i="9" s="1"/>
  <c r="E112" i="9"/>
  <c r="F112" i="9" s="1"/>
  <c r="E113" i="9"/>
  <c r="F113" i="9" s="1"/>
  <c r="E114" i="9"/>
  <c r="F114" i="9" s="1"/>
  <c r="E79" i="9"/>
  <c r="F79" i="9" s="1"/>
  <c r="C79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43" i="9"/>
  <c r="K67" i="9"/>
  <c r="K68" i="9" s="1"/>
  <c r="K69" i="9" s="1"/>
  <c r="K70" i="9" s="1"/>
  <c r="K71" i="9" s="1"/>
  <c r="K72" i="9" s="1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43" i="9"/>
  <c r="E44" i="9"/>
  <c r="F44" i="9" s="1"/>
  <c r="E45" i="9"/>
  <c r="F45" i="9" s="1"/>
  <c r="E46" i="9"/>
  <c r="F46" i="9" s="1"/>
  <c r="E47" i="9"/>
  <c r="F47" i="9" s="1"/>
  <c r="E48" i="9"/>
  <c r="F48" i="9" s="1"/>
  <c r="E49" i="9"/>
  <c r="F49" i="9" s="1"/>
  <c r="E50" i="9"/>
  <c r="F50" i="9" s="1"/>
  <c r="E51" i="9"/>
  <c r="F51" i="9" s="1"/>
  <c r="E52" i="9"/>
  <c r="F52" i="9" s="1"/>
  <c r="E53" i="9"/>
  <c r="F53" i="9" s="1"/>
  <c r="E54" i="9"/>
  <c r="F54" i="9" s="1"/>
  <c r="E55" i="9"/>
  <c r="F55" i="9" s="1"/>
  <c r="E56" i="9"/>
  <c r="F56" i="9" s="1"/>
  <c r="E57" i="9"/>
  <c r="F57" i="9" s="1"/>
  <c r="E58" i="9"/>
  <c r="F58" i="9" s="1"/>
  <c r="E59" i="9"/>
  <c r="F59" i="9" s="1"/>
  <c r="E60" i="9"/>
  <c r="F60" i="9" s="1"/>
  <c r="E61" i="9"/>
  <c r="F61" i="9" s="1"/>
  <c r="E62" i="9"/>
  <c r="F62" i="9" s="1"/>
  <c r="E63" i="9"/>
  <c r="F63" i="9" s="1"/>
  <c r="E64" i="9"/>
  <c r="F64" i="9" s="1"/>
  <c r="C5" i="10" s="1"/>
  <c r="D5" i="10" s="1"/>
  <c r="E65" i="9"/>
  <c r="F65" i="9" s="1"/>
  <c r="E66" i="9"/>
  <c r="F66" i="9" s="1"/>
  <c r="E67" i="9"/>
  <c r="F67" i="9" s="1"/>
  <c r="E68" i="9"/>
  <c r="F68" i="9" s="1"/>
  <c r="E69" i="9"/>
  <c r="F69" i="9" s="1"/>
  <c r="E70" i="9"/>
  <c r="F70" i="9" s="1"/>
  <c r="E71" i="9"/>
  <c r="F71" i="9" s="1"/>
  <c r="E72" i="9"/>
  <c r="F72" i="9" s="1"/>
  <c r="E73" i="9"/>
  <c r="F73" i="9" s="1"/>
  <c r="E74" i="9"/>
  <c r="F74" i="9" s="1"/>
  <c r="E75" i="9"/>
  <c r="F75" i="9" s="1"/>
  <c r="E76" i="9"/>
  <c r="F76" i="9" s="1"/>
  <c r="E77" i="9"/>
  <c r="F77" i="9" s="1"/>
  <c r="E78" i="9"/>
  <c r="F78" i="9" s="1"/>
  <c r="E43" i="9"/>
  <c r="F43" i="9" s="1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K13" i="9"/>
  <c r="K14" i="9" s="1"/>
  <c r="K15" i="9" s="1"/>
  <c r="K16" i="9" s="1"/>
  <c r="K17" i="9" s="1"/>
  <c r="K18" i="9" s="1"/>
  <c r="K25" i="9"/>
  <c r="K26" i="9" s="1"/>
  <c r="K27" i="9" s="1"/>
  <c r="K28" i="9" s="1"/>
  <c r="K29" i="9" s="1"/>
  <c r="K30" i="9" s="1"/>
  <c r="I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7" i="9"/>
  <c r="E8" i="9"/>
  <c r="F8" i="9" s="1"/>
  <c r="E9" i="9"/>
  <c r="F9" i="9" s="1"/>
  <c r="E10" i="9"/>
  <c r="F10" i="9" s="1"/>
  <c r="E11" i="9"/>
  <c r="F11" i="9" s="1"/>
  <c r="E12" i="9"/>
  <c r="F12" i="9" s="1"/>
  <c r="E13" i="9"/>
  <c r="F13" i="9" s="1"/>
  <c r="E14" i="9"/>
  <c r="F14" i="9" s="1"/>
  <c r="E15" i="9"/>
  <c r="F15" i="9" s="1"/>
  <c r="E16" i="9"/>
  <c r="F16" i="9" s="1"/>
  <c r="E17" i="9"/>
  <c r="F17" i="9" s="1"/>
  <c r="E18" i="9"/>
  <c r="F18" i="9" s="1"/>
  <c r="E19" i="9"/>
  <c r="F19" i="9" s="1"/>
  <c r="E20" i="9"/>
  <c r="F20" i="9" s="1"/>
  <c r="E21" i="9"/>
  <c r="F21" i="9" s="1"/>
  <c r="E22" i="9"/>
  <c r="F22" i="9" s="1"/>
  <c r="E23" i="9"/>
  <c r="F23" i="9" s="1"/>
  <c r="E24" i="9"/>
  <c r="F24" i="9" s="1"/>
  <c r="E25" i="9"/>
  <c r="F25" i="9" s="1"/>
  <c r="E26" i="9"/>
  <c r="F26" i="9" s="1"/>
  <c r="E27" i="9"/>
  <c r="F27" i="9" s="1"/>
  <c r="E28" i="9"/>
  <c r="F28" i="9" s="1"/>
  <c r="E29" i="9"/>
  <c r="F29" i="9" s="1"/>
  <c r="E30" i="9"/>
  <c r="F30" i="9" s="1"/>
  <c r="E31" i="9"/>
  <c r="F31" i="9" s="1"/>
  <c r="E32" i="9"/>
  <c r="F32" i="9" s="1"/>
  <c r="E33" i="9"/>
  <c r="F33" i="9" s="1"/>
  <c r="E34" i="9"/>
  <c r="F34" i="9" s="1"/>
  <c r="E35" i="9"/>
  <c r="F35" i="9" s="1"/>
  <c r="E36" i="9"/>
  <c r="F36" i="9" s="1"/>
  <c r="E37" i="9"/>
  <c r="F37" i="9" s="1"/>
  <c r="E38" i="9"/>
  <c r="F38" i="9" s="1"/>
  <c r="E39" i="9"/>
  <c r="F39" i="9" s="1"/>
  <c r="E40" i="9"/>
  <c r="F40" i="9" s="1"/>
  <c r="E41" i="9"/>
  <c r="F41" i="9" s="1"/>
  <c r="E42" i="9"/>
  <c r="F42" i="9" s="1"/>
  <c r="E7" i="9"/>
  <c r="F7" i="9" s="1"/>
  <c r="C6" i="10" l="1"/>
  <c r="D6" i="10" s="1"/>
  <c r="K43" i="9"/>
  <c r="K44" i="9" s="1"/>
  <c r="K45" i="9" s="1"/>
  <c r="K46" i="9" s="1"/>
  <c r="K47" i="9" s="1"/>
  <c r="K48" i="9" s="1"/>
  <c r="F33" i="10"/>
  <c r="F34" i="10"/>
  <c r="F35" i="10"/>
  <c r="F36" i="10"/>
  <c r="K19" i="9"/>
  <c r="K73" i="9"/>
  <c r="K61" i="9"/>
  <c r="K85" i="9"/>
  <c r="L13" i="9"/>
  <c r="L14" i="9" s="1"/>
  <c r="L15" i="9" s="1"/>
  <c r="L16" i="9" s="1"/>
  <c r="L17" i="9" s="1"/>
  <c r="L18" i="9" s="1"/>
  <c r="L67" i="9"/>
  <c r="L68" i="9" s="1"/>
  <c r="L69" i="9" s="1"/>
  <c r="L70" i="9" s="1"/>
  <c r="L71" i="9" s="1"/>
  <c r="L72" i="9" s="1"/>
  <c r="K139" i="9"/>
  <c r="K31" i="9"/>
  <c r="K55" i="9"/>
  <c r="L25" i="9"/>
  <c r="L26" i="9" s="1"/>
  <c r="L27" i="9" s="1"/>
  <c r="L28" i="9" s="1"/>
  <c r="L29" i="9" s="1"/>
  <c r="L30" i="9" s="1"/>
  <c r="K80" i="9"/>
  <c r="K81" i="9" s="1"/>
  <c r="K82" i="9" s="1"/>
  <c r="K83" i="9" s="1"/>
  <c r="K84" i="9" s="1"/>
  <c r="K103" i="9"/>
  <c r="K91" i="9"/>
  <c r="K127" i="9"/>
  <c r="K37" i="9"/>
  <c r="K49" i="9"/>
  <c r="K115" i="9"/>
  <c r="H152" i="8"/>
  <c r="H146" i="8"/>
  <c r="I133" i="9"/>
  <c r="K133" i="9" s="1"/>
  <c r="H134" i="8"/>
  <c r="H128" i="8"/>
  <c r="I121" i="9" s="1"/>
  <c r="K121" i="9" s="1"/>
  <c r="H122" i="8"/>
  <c r="H114" i="8"/>
  <c r="I109" i="9" s="1"/>
  <c r="K109" i="9" s="1"/>
  <c r="H108" i="8"/>
  <c r="H102" i="8"/>
  <c r="H96" i="8"/>
  <c r="H90" i="8"/>
  <c r="H84" i="8"/>
  <c r="H76" i="8"/>
  <c r="E5" i="10" s="1"/>
  <c r="F5" i="10" s="1"/>
  <c r="H70" i="8"/>
  <c r="H64" i="8"/>
  <c r="H58" i="8"/>
  <c r="H52" i="8"/>
  <c r="H32" i="8"/>
  <c r="H26" i="8"/>
  <c r="E4" i="10"/>
  <c r="H14" i="8"/>
  <c r="E7" i="10" l="1"/>
  <c r="F7" i="10" s="1"/>
  <c r="E6" i="10"/>
  <c r="F6" i="10" s="1"/>
  <c r="K145" i="9"/>
  <c r="K146" i="9" s="1"/>
  <c r="K147" i="9" s="1"/>
  <c r="K148" i="9" s="1"/>
  <c r="K149" i="9" s="1"/>
  <c r="K150" i="9" s="1"/>
  <c r="K97" i="9"/>
  <c r="K98" i="9" s="1"/>
  <c r="K99" i="9" s="1"/>
  <c r="K100" i="9" s="1"/>
  <c r="K101" i="9" s="1"/>
  <c r="K102" i="9" s="1"/>
  <c r="L43" i="9"/>
  <c r="L44" i="9" s="1"/>
  <c r="L45" i="9" s="1"/>
  <c r="L46" i="9" s="1"/>
  <c r="L47" i="9" s="1"/>
  <c r="L48" i="9" s="1"/>
  <c r="F4" i="10"/>
  <c r="K116" i="9"/>
  <c r="K117" i="9" s="1"/>
  <c r="K118" i="9" s="1"/>
  <c r="K119" i="9" s="1"/>
  <c r="K120" i="9" s="1"/>
  <c r="L115" i="9"/>
  <c r="L116" i="9" s="1"/>
  <c r="L117" i="9" s="1"/>
  <c r="L118" i="9" s="1"/>
  <c r="L119" i="9" s="1"/>
  <c r="L120" i="9" s="1"/>
  <c r="L127" i="9"/>
  <c r="L128" i="9" s="1"/>
  <c r="L129" i="9" s="1"/>
  <c r="L130" i="9" s="1"/>
  <c r="L131" i="9" s="1"/>
  <c r="L132" i="9" s="1"/>
  <c r="K128" i="9"/>
  <c r="K129" i="9" s="1"/>
  <c r="K130" i="9" s="1"/>
  <c r="K131" i="9" s="1"/>
  <c r="K132" i="9" s="1"/>
  <c r="K32" i="9"/>
  <c r="K33" i="9" s="1"/>
  <c r="K34" i="9" s="1"/>
  <c r="K35" i="9" s="1"/>
  <c r="K36" i="9" s="1"/>
  <c r="L31" i="9"/>
  <c r="L32" i="9" s="1"/>
  <c r="L33" i="9" s="1"/>
  <c r="L34" i="9" s="1"/>
  <c r="L35" i="9" s="1"/>
  <c r="L36" i="9" s="1"/>
  <c r="K110" i="9"/>
  <c r="K111" i="9" s="1"/>
  <c r="K112" i="9" s="1"/>
  <c r="K113" i="9" s="1"/>
  <c r="K114" i="9" s="1"/>
  <c r="L109" i="9"/>
  <c r="L110" i="9" s="1"/>
  <c r="L111" i="9" s="1"/>
  <c r="L112" i="9" s="1"/>
  <c r="L113" i="9" s="1"/>
  <c r="L114" i="9" s="1"/>
  <c r="K50" i="9"/>
  <c r="K51" i="9" s="1"/>
  <c r="K52" i="9" s="1"/>
  <c r="K53" i="9" s="1"/>
  <c r="K54" i="9" s="1"/>
  <c r="L49" i="9"/>
  <c r="L50" i="9" s="1"/>
  <c r="L51" i="9" s="1"/>
  <c r="L52" i="9" s="1"/>
  <c r="L53" i="9" s="1"/>
  <c r="L54" i="9" s="1"/>
  <c r="K92" i="9"/>
  <c r="K93" i="9" s="1"/>
  <c r="K94" i="9" s="1"/>
  <c r="K95" i="9" s="1"/>
  <c r="K96" i="9" s="1"/>
  <c r="L91" i="9"/>
  <c r="L92" i="9" s="1"/>
  <c r="L93" i="9" s="1"/>
  <c r="L94" i="9" s="1"/>
  <c r="L95" i="9" s="1"/>
  <c r="L96" i="9" s="1"/>
  <c r="K134" i="9"/>
  <c r="K135" i="9" s="1"/>
  <c r="K136" i="9" s="1"/>
  <c r="K137" i="9" s="1"/>
  <c r="K138" i="9" s="1"/>
  <c r="L133" i="9"/>
  <c r="L134" i="9" s="1"/>
  <c r="L135" i="9" s="1"/>
  <c r="L136" i="9" s="1"/>
  <c r="L137" i="9" s="1"/>
  <c r="L138" i="9" s="1"/>
  <c r="K8" i="9"/>
  <c r="K9" i="9" s="1"/>
  <c r="K10" i="9" s="1"/>
  <c r="K11" i="9" s="1"/>
  <c r="K12" i="9" s="1"/>
  <c r="L7" i="9"/>
  <c r="L8" i="9" s="1"/>
  <c r="L9" i="9" s="1"/>
  <c r="L10" i="9" s="1"/>
  <c r="L11" i="9" s="1"/>
  <c r="L12" i="9" s="1"/>
  <c r="K122" i="9"/>
  <c r="K123" i="9" s="1"/>
  <c r="K124" i="9" s="1"/>
  <c r="K125" i="9" s="1"/>
  <c r="K126" i="9" s="1"/>
  <c r="L121" i="9"/>
  <c r="L122" i="9" s="1"/>
  <c r="L123" i="9" s="1"/>
  <c r="L124" i="9" s="1"/>
  <c r="L125" i="9" s="1"/>
  <c r="L126" i="9" s="1"/>
  <c r="K62" i="9"/>
  <c r="K63" i="9" s="1"/>
  <c r="K64" i="9" s="1"/>
  <c r="K65" i="9" s="1"/>
  <c r="K66" i="9" s="1"/>
  <c r="L61" i="9"/>
  <c r="L62" i="9" s="1"/>
  <c r="L63" i="9" s="1"/>
  <c r="L64" i="9" s="1"/>
  <c r="L65" i="9" s="1"/>
  <c r="L66" i="9" s="1"/>
  <c r="K38" i="9"/>
  <c r="K39" i="9" s="1"/>
  <c r="K40" i="9" s="1"/>
  <c r="K41" i="9" s="1"/>
  <c r="K42" i="9" s="1"/>
  <c r="L37" i="9"/>
  <c r="L38" i="9" s="1"/>
  <c r="L39" i="9" s="1"/>
  <c r="L40" i="9" s="1"/>
  <c r="L41" i="9" s="1"/>
  <c r="L42" i="9" s="1"/>
  <c r="K104" i="9"/>
  <c r="K105" i="9" s="1"/>
  <c r="K106" i="9" s="1"/>
  <c r="K107" i="9" s="1"/>
  <c r="K108" i="9" s="1"/>
  <c r="L103" i="9"/>
  <c r="L104" i="9" s="1"/>
  <c r="L105" i="9" s="1"/>
  <c r="L106" i="9" s="1"/>
  <c r="L107" i="9" s="1"/>
  <c r="L108" i="9" s="1"/>
  <c r="K140" i="9"/>
  <c r="K141" i="9" s="1"/>
  <c r="K142" i="9" s="1"/>
  <c r="K143" i="9" s="1"/>
  <c r="K144" i="9" s="1"/>
  <c r="L139" i="9"/>
  <c r="L140" i="9" s="1"/>
  <c r="L141" i="9" s="1"/>
  <c r="L142" i="9" s="1"/>
  <c r="L143" i="9" s="1"/>
  <c r="L144" i="9" s="1"/>
  <c r="K86" i="9"/>
  <c r="K87" i="9" s="1"/>
  <c r="K88" i="9" s="1"/>
  <c r="K89" i="9" s="1"/>
  <c r="K90" i="9" s="1"/>
  <c r="L85" i="9"/>
  <c r="L86" i="9" s="1"/>
  <c r="L87" i="9" s="1"/>
  <c r="L88" i="9" s="1"/>
  <c r="L89" i="9" s="1"/>
  <c r="L90" i="9" s="1"/>
  <c r="K74" i="9"/>
  <c r="K75" i="9" s="1"/>
  <c r="K76" i="9" s="1"/>
  <c r="K77" i="9" s="1"/>
  <c r="K78" i="9" s="1"/>
  <c r="L73" i="9"/>
  <c r="L74" i="9" s="1"/>
  <c r="L75" i="9" s="1"/>
  <c r="L76" i="9" s="1"/>
  <c r="L77" i="9" s="1"/>
  <c r="L78" i="9" s="1"/>
  <c r="K56" i="9"/>
  <c r="K57" i="9" s="1"/>
  <c r="K58" i="9" s="1"/>
  <c r="K59" i="9" s="1"/>
  <c r="K60" i="9" s="1"/>
  <c r="L55" i="9"/>
  <c r="L56" i="9" s="1"/>
  <c r="L57" i="9" s="1"/>
  <c r="L58" i="9" s="1"/>
  <c r="L59" i="9" s="1"/>
  <c r="L60" i="9" s="1"/>
  <c r="K20" i="9"/>
  <c r="K21" i="9" s="1"/>
  <c r="K22" i="9" s="1"/>
  <c r="K23" i="9" s="1"/>
  <c r="K24" i="9" s="1"/>
  <c r="L19" i="9"/>
  <c r="L20" i="9" s="1"/>
  <c r="L21" i="9" s="1"/>
  <c r="L22" i="9" s="1"/>
  <c r="L23" i="9" s="1"/>
  <c r="L24" i="9" s="1"/>
  <c r="L97" i="9" l="1"/>
  <c r="L98" i="9" s="1"/>
  <c r="L99" i="9" s="1"/>
  <c r="L100" i="9" s="1"/>
  <c r="L101" i="9" s="1"/>
  <c r="L102" i="9" s="1"/>
  <c r="C34" i="10"/>
  <c r="C35" i="10" s="1"/>
  <c r="L145" i="9"/>
  <c r="L146" i="9" s="1"/>
  <c r="L147" i="9" s="1"/>
  <c r="L148" i="9" s="1"/>
  <c r="L149" i="9" s="1"/>
  <c r="L150" i="9" s="1"/>
</calcChain>
</file>

<file path=xl/sharedStrings.xml><?xml version="1.0" encoding="utf-8"?>
<sst xmlns="http://schemas.openxmlformats.org/spreadsheetml/2006/main" count="258" uniqueCount="52">
  <si>
    <t>Tanggal</t>
  </si>
  <si>
    <t>No Design</t>
  </si>
  <si>
    <t>Kendala</t>
  </si>
  <si>
    <t>Keterangan</t>
  </si>
  <si>
    <t>Jumlah Oder</t>
  </si>
  <si>
    <t>Perbaikan Design</t>
  </si>
  <si>
    <t>Target Harian</t>
  </si>
  <si>
    <t>-</t>
  </si>
  <si>
    <t>Jumlah Kendala</t>
  </si>
  <si>
    <t>Kode Client</t>
  </si>
  <si>
    <t xml:space="preserve">Target minggu ini </t>
  </si>
  <si>
    <t>Jumlah kendala</t>
  </si>
  <si>
    <t>Selasa</t>
  </si>
  <si>
    <t>Rabu</t>
  </si>
  <si>
    <t>Kamis</t>
  </si>
  <si>
    <t>Jum'at</t>
  </si>
  <si>
    <t>Sabtu</t>
  </si>
  <si>
    <t>Senin</t>
  </si>
  <si>
    <t>Nama Client</t>
  </si>
  <si>
    <t>SD</t>
  </si>
  <si>
    <t>AJ</t>
  </si>
  <si>
    <t>PA</t>
  </si>
  <si>
    <t>MK</t>
  </si>
  <si>
    <t>MT</t>
  </si>
  <si>
    <t>BJ</t>
  </si>
  <si>
    <t>HN</t>
  </si>
  <si>
    <t>TS</t>
  </si>
  <si>
    <t>CT</t>
  </si>
  <si>
    <t>No order</t>
  </si>
  <si>
    <t>KR</t>
  </si>
  <si>
    <t>Minggu ke-1</t>
  </si>
  <si>
    <t>Minggu ke-2</t>
  </si>
  <si>
    <t>Minggu ke-4</t>
  </si>
  <si>
    <t>Minggu ke-</t>
  </si>
  <si>
    <t>Hari</t>
  </si>
  <si>
    <t>Minggu ke-3</t>
  </si>
  <si>
    <t>Jumlah Pencapaian Oder</t>
  </si>
  <si>
    <t>Jenis Kendala</t>
  </si>
  <si>
    <t>Jenis Kendala Yang Sering Terjadi</t>
  </si>
  <si>
    <t>Screen Bermasalah</t>
  </si>
  <si>
    <t>Kode Kendala</t>
  </si>
  <si>
    <t>Order di tunda</t>
  </si>
  <si>
    <t>Order di batalkan</t>
  </si>
  <si>
    <t>Jumlah Total Order</t>
  </si>
  <si>
    <t>Jumlah order</t>
  </si>
  <si>
    <t>dari tanggal 01-10-2019 sampai 26-10-2019</t>
  </si>
  <si>
    <t>Lain-lain</t>
  </si>
  <si>
    <t>Laporan Status Order Mingguan</t>
  </si>
  <si>
    <t>LAPORAN STATUS ORDER TOTAL</t>
  </si>
  <si>
    <t>No Order</t>
  </si>
  <si>
    <t>Tabel Perhitungan Order</t>
  </si>
  <si>
    <t>Tabel Input Data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</si>
</sst>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0" borderId="0" xfId="0" applyBorder="1"/>
    <xf numFmtId="0" fontId="0" fillId="0" borderId="1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41" fontId="0" fillId="0" borderId="0" xfId="0" applyNumberForma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10" borderId="9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9" borderId="4" xfId="0" applyFont="1" applyFill="1" applyBorder="1" applyAlignment="1">
      <alignment horizontal="center"/>
    </xf>
    <xf numFmtId="0" fontId="0" fillId="9" borderId="6" xfId="0" applyFont="1" applyFill="1" applyBorder="1" applyAlignment="1">
      <alignment horizontal="center"/>
    </xf>
    <xf numFmtId="41" fontId="0" fillId="0" borderId="30" xfId="0" applyNumberFormat="1" applyBorder="1"/>
    <xf numFmtId="41" fontId="0" fillId="0" borderId="0" xfId="0" applyNumberFormat="1" applyBorder="1"/>
    <xf numFmtId="0" fontId="0" fillId="0" borderId="0" xfId="0" applyFill="1" applyAlignment="1"/>
    <xf numFmtId="0" fontId="0" fillId="0" borderId="18" xfId="0" applyFill="1" applyBorder="1" applyAlignment="1"/>
    <xf numFmtId="0" fontId="2" fillId="0" borderId="0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1" fontId="0" fillId="0" borderId="1" xfId="0" applyNumberFormat="1" applyBorder="1"/>
    <xf numFmtId="41" fontId="0" fillId="0" borderId="30" xfId="0" applyNumberFormat="1" applyBorder="1" applyAlignment="1">
      <alignment horizontal="center" vertical="center"/>
    </xf>
    <xf numFmtId="0" fontId="0" fillId="0" borderId="0" xfId="0" applyBorder="1" applyProtection="1"/>
    <xf numFmtId="0" fontId="0" fillId="0" borderId="0" xfId="0" applyBorder="1" applyAlignment="1"/>
    <xf numFmtId="0" fontId="0" fillId="0" borderId="33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0" xfId="0" applyNumberFormat="1" applyBorder="1" applyAlignment="1">
      <alignment horizontal="center" vertical="center"/>
    </xf>
    <xf numFmtId="0" fontId="0" fillId="11" borderId="27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29" xfId="0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2" fillId="11" borderId="32" xfId="0" applyFont="1" applyFill="1" applyBorder="1" applyAlignment="1" applyProtection="1">
      <alignment horizontal="center" vertical="center"/>
    </xf>
    <xf numFmtId="0" fontId="2" fillId="11" borderId="34" xfId="0" applyFont="1" applyFill="1" applyBorder="1" applyAlignment="1" applyProtection="1">
      <alignment horizontal="center" vertical="center"/>
    </xf>
    <xf numFmtId="0" fontId="2" fillId="11" borderId="27" xfId="0" applyFont="1" applyFill="1" applyBorder="1" applyAlignment="1" applyProtection="1">
      <alignment vertical="center" wrapText="1"/>
    </xf>
    <xf numFmtId="0" fontId="2" fillId="11" borderId="23" xfId="0" applyFont="1" applyFill="1" applyBorder="1" applyAlignment="1" applyProtection="1">
      <alignment vertical="center" wrapText="1"/>
    </xf>
    <xf numFmtId="0" fontId="2" fillId="11" borderId="25" xfId="0" applyFont="1" applyFill="1" applyBorder="1" applyAlignment="1" applyProtection="1">
      <alignment vertical="center" wrapText="1"/>
    </xf>
    <xf numFmtId="0" fontId="2" fillId="11" borderId="32" xfId="0" applyFont="1" applyFill="1" applyBorder="1" applyAlignment="1">
      <alignment vertical="center"/>
    </xf>
    <xf numFmtId="0" fontId="2" fillId="11" borderId="34" xfId="0" applyFont="1" applyFill="1" applyBorder="1" applyAlignment="1">
      <alignment vertical="center"/>
    </xf>
    <xf numFmtId="0" fontId="0" fillId="0" borderId="8" xfId="0" applyNumberFormat="1" applyBorder="1" applyAlignment="1">
      <alignment horizontal="center" vertical="center"/>
    </xf>
    <xf numFmtId="0" fontId="0" fillId="0" borderId="38" xfId="0" applyNumberFormat="1" applyBorder="1" applyAlignment="1">
      <alignment horizontal="center" vertical="center"/>
    </xf>
    <xf numFmtId="0" fontId="2" fillId="11" borderId="17" xfId="0" applyFont="1" applyFill="1" applyBorder="1" applyAlignment="1">
      <alignment vertical="center"/>
    </xf>
    <xf numFmtId="0" fontId="0" fillId="0" borderId="26" xfId="0" applyBorder="1" applyAlignment="1">
      <alignment horizontal="center"/>
    </xf>
    <xf numFmtId="0" fontId="0" fillId="0" borderId="3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 wrapText="1"/>
    </xf>
    <xf numFmtId="0" fontId="2" fillId="11" borderId="32" xfId="0" applyFont="1" applyFill="1" applyBorder="1" applyAlignment="1">
      <alignment horizontal="center" vertical="center" wrapText="1"/>
    </xf>
    <xf numFmtId="0" fontId="2" fillId="11" borderId="34" xfId="0" applyFont="1" applyFill="1" applyBorder="1" applyAlignment="1">
      <alignment horizontal="center" vertical="center" wrapText="1"/>
    </xf>
    <xf numFmtId="41" fontId="0" fillId="0" borderId="12" xfId="0" applyNumberFormat="1" applyBorder="1" applyAlignment="1">
      <alignment horizontal="center" vertical="center"/>
    </xf>
    <xf numFmtId="41" fontId="0" fillId="0" borderId="12" xfId="0" applyNumberFormat="1" applyBorder="1"/>
    <xf numFmtId="0" fontId="0" fillId="0" borderId="12" xfId="0" applyNumberFormat="1" applyBorder="1" applyAlignment="1">
      <alignment horizontal="center" vertical="center"/>
    </xf>
    <xf numFmtId="0" fontId="0" fillId="0" borderId="12" xfId="0" applyNumberFormat="1" applyBorder="1" applyAlignment="1" applyProtection="1">
      <alignment horizontal="center" vertical="center" wrapText="1"/>
    </xf>
    <xf numFmtId="0" fontId="0" fillId="0" borderId="37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</xf>
    <xf numFmtId="0" fontId="0" fillId="0" borderId="33" xfId="0" applyNumberFormat="1" applyBorder="1" applyAlignment="1" applyProtection="1">
      <alignment horizontal="center" vertical="center" wrapText="1"/>
    </xf>
    <xf numFmtId="0" fontId="0" fillId="0" borderId="30" xfId="0" applyNumberFormat="1" applyBorder="1" applyAlignment="1" applyProtection="1">
      <alignment horizontal="center" vertical="center" wrapText="1"/>
    </xf>
    <xf numFmtId="0" fontId="0" fillId="0" borderId="35" xfId="0" applyNumberFormat="1" applyBorder="1" applyAlignment="1" applyProtection="1">
      <alignment horizontal="center" vertical="center" wrapText="1"/>
    </xf>
    <xf numFmtId="0" fontId="2" fillId="11" borderId="41" xfId="0" applyFont="1" applyFill="1" applyBorder="1" applyAlignment="1" applyProtection="1">
      <alignment vertical="center" wrapText="1"/>
    </xf>
    <xf numFmtId="0" fontId="2" fillId="11" borderId="17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41" fontId="0" fillId="0" borderId="33" xfId="0" applyNumberFormat="1" applyBorder="1" applyAlignment="1">
      <alignment horizontal="center" vertical="center"/>
    </xf>
    <xf numFmtId="43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1" fontId="0" fillId="0" borderId="35" xfId="0" applyNumberFormat="1" applyBorder="1" applyAlignment="1">
      <alignment horizontal="center" vertical="center"/>
    </xf>
    <xf numFmtId="43" fontId="1" fillId="6" borderId="27" xfId="0" applyNumberFormat="1" applyFont="1" applyFill="1" applyBorder="1" applyAlignment="1">
      <alignment horizontal="center" vertical="center" wrapText="1"/>
    </xf>
    <xf numFmtId="43" fontId="1" fillId="6" borderId="29" xfId="0" applyNumberFormat="1" applyFont="1" applyFill="1" applyBorder="1" applyAlignment="1">
      <alignment horizontal="center" vertical="center" wrapText="1"/>
    </xf>
    <xf numFmtId="41" fontId="0" fillId="0" borderId="37" xfId="0" applyNumberFormat="1" applyBorder="1" applyAlignment="1">
      <alignment horizontal="center" vertical="center"/>
    </xf>
    <xf numFmtId="43" fontId="2" fillId="7" borderId="36" xfId="0" applyNumberFormat="1" applyFont="1" applyFill="1" applyBorder="1" applyAlignment="1">
      <alignment horizontal="center" vertical="center"/>
    </xf>
    <xf numFmtId="43" fontId="2" fillId="7" borderId="32" xfId="0" applyNumberFormat="1" applyFont="1" applyFill="1" applyBorder="1" applyAlignment="1">
      <alignment horizontal="center" vertical="center"/>
    </xf>
    <xf numFmtId="43" fontId="2" fillId="7" borderId="34" xfId="0" applyNumberFormat="1" applyFont="1" applyFill="1" applyBorder="1" applyAlignment="1">
      <alignment horizontal="center" vertical="center"/>
    </xf>
    <xf numFmtId="43" fontId="0" fillId="0" borderId="12" xfId="0" applyNumberFormat="1" applyBorder="1" applyAlignment="1">
      <alignment horizontal="center" vertical="center"/>
    </xf>
    <xf numFmtId="43" fontId="0" fillId="0" borderId="30" xfId="0" applyNumberForma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41" fontId="0" fillId="0" borderId="12" xfId="0" applyNumberFormat="1" applyBorder="1" applyAlignment="1">
      <alignment horizontal="center" vertical="center"/>
    </xf>
    <xf numFmtId="14" fontId="0" fillId="0" borderId="30" xfId="0" applyNumberFormat="1" applyBorder="1" applyAlignment="1">
      <alignment horizontal="center" vertical="center"/>
    </xf>
    <xf numFmtId="41" fontId="0" fillId="0" borderId="30" xfId="0" applyNumberFormat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2" fillId="8" borderId="28" xfId="0" applyFont="1" applyFill="1" applyBorder="1" applyAlignment="1">
      <alignment horizontal="center" vertical="center" wrapText="1"/>
    </xf>
    <xf numFmtId="0" fontId="2" fillId="8" borderId="29" xfId="0" applyFont="1" applyFill="1" applyBorder="1" applyAlignment="1">
      <alignment horizontal="center" vertical="center" wrapText="1"/>
    </xf>
    <xf numFmtId="0" fontId="2" fillId="8" borderId="31" xfId="0" applyFont="1" applyFill="1" applyBorder="1" applyAlignment="1">
      <alignment horizontal="center" vertical="center"/>
    </xf>
    <xf numFmtId="0" fontId="2" fillId="8" borderId="39" xfId="0" applyFont="1" applyFill="1" applyBorder="1" applyAlignment="1">
      <alignment horizontal="center" vertical="center"/>
    </xf>
    <xf numFmtId="0" fontId="2" fillId="8" borderId="40" xfId="0" applyFont="1" applyFill="1" applyBorder="1" applyAlignment="1">
      <alignment horizontal="center" vertical="center"/>
    </xf>
    <xf numFmtId="0" fontId="6" fillId="8" borderId="42" xfId="0" applyFont="1" applyFill="1" applyBorder="1" applyAlignment="1">
      <alignment horizontal="center" vertical="center"/>
    </xf>
    <xf numFmtId="0" fontId="6" fillId="8" borderId="17" xfId="0" applyFont="1" applyFill="1" applyBorder="1" applyAlignment="1">
      <alignment horizontal="center" vertical="center"/>
    </xf>
    <xf numFmtId="0" fontId="6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D"/>
              <a:t>Laporan Mingguan</a:t>
            </a:r>
          </a:p>
        </c:rich>
      </c:tx>
      <c:layout>
        <c:manualLayout>
          <c:xMode val="edge"/>
          <c:yMode val="edge"/>
          <c:x val="0.44371917566763552"/>
          <c:y val="1.54160771476685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'Status Order'!$E$3</c:f>
              <c:strCache>
                <c:ptCount val="1"/>
                <c:pt idx="0">
                  <c:v>Jumlah kendala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'Status Order'!$B$4:$B$7</c:f>
              <c:strCache>
                <c:ptCount val="4"/>
                <c:pt idx="0">
                  <c:v>Minggu ke-1</c:v>
                </c:pt>
                <c:pt idx="1">
                  <c:v>Minggu ke-2</c:v>
                </c:pt>
                <c:pt idx="2">
                  <c:v>Minggu ke-3</c:v>
                </c:pt>
                <c:pt idx="3">
                  <c:v>Minggu ke-4</c:v>
                </c:pt>
              </c:strCache>
            </c:strRef>
          </c:cat>
          <c:val>
            <c:numRef>
              <c:f>'Status Order'!$E$4:$E$7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38-4413-96B0-DD579B6A3239}"/>
            </c:ext>
          </c:extLst>
        </c:ser>
        <c:ser>
          <c:idx val="4"/>
          <c:order val="4"/>
          <c:tx>
            <c:strRef>
              <c:f>'Status Order'!$G$3</c:f>
              <c:strCache>
                <c:ptCount val="1"/>
                <c:pt idx="0">
                  <c:v>Jumlah order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'Status Order'!$B$4:$B$7</c:f>
              <c:strCache>
                <c:ptCount val="4"/>
                <c:pt idx="0">
                  <c:v>Minggu ke-1</c:v>
                </c:pt>
                <c:pt idx="1">
                  <c:v>Minggu ke-2</c:v>
                </c:pt>
                <c:pt idx="2">
                  <c:v>Minggu ke-3</c:v>
                </c:pt>
                <c:pt idx="3">
                  <c:v>Minggu ke-4</c:v>
                </c:pt>
              </c:strCache>
            </c:strRef>
          </c:cat>
          <c:val>
            <c:numRef>
              <c:f>'Status Order'!$G$4:$G$7</c:f>
              <c:numCache>
                <c:formatCode>General</c:formatCode>
                <c:ptCount val="4"/>
                <c:pt idx="0">
                  <c:v>17</c:v>
                </c:pt>
                <c:pt idx="1">
                  <c:v>21</c:v>
                </c:pt>
                <c:pt idx="2">
                  <c:v>18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38-4413-96B0-DD579B6A32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7044704"/>
        <c:axId val="47704011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'Status Order'!$C$3</c15:sqref>
                        </c15:formulaRef>
                      </c:ext>
                    </c:extLst>
                    <c:strCache>
                      <c:ptCount val="1"/>
                      <c:pt idx="0">
                        <c:v>Kode Client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'Status Order'!$B$4:$B$7</c15:sqref>
                        </c15:formulaRef>
                      </c:ext>
                    </c:extLst>
                    <c:strCache>
                      <c:ptCount val="4"/>
                      <c:pt idx="0">
                        <c:v>Minggu ke-1</c:v>
                      </c:pt>
                      <c:pt idx="1">
                        <c:v>Minggu ke-2</c:v>
                      </c:pt>
                      <c:pt idx="2">
                        <c:v>Minggu ke-3</c:v>
                      </c:pt>
                      <c:pt idx="3">
                        <c:v>Minggu ke-4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'Status Order'!$C$4:$C$7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538-4413-96B0-DD579B6A323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Order'!$D$3</c15:sqref>
                        </c15:formulaRef>
                      </c:ext>
                    </c:extLst>
                    <c:strCache>
                      <c:ptCount val="1"/>
                      <c:pt idx="0">
                        <c:v>Nama Client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Order'!$B$4:$B$7</c15:sqref>
                        </c15:formulaRef>
                      </c:ext>
                    </c:extLst>
                    <c:strCache>
                      <c:ptCount val="4"/>
                      <c:pt idx="0">
                        <c:v>Minggu ke-1</c:v>
                      </c:pt>
                      <c:pt idx="1">
                        <c:v>Minggu ke-2</c:v>
                      </c:pt>
                      <c:pt idx="2">
                        <c:v>Minggu ke-3</c:v>
                      </c:pt>
                      <c:pt idx="3">
                        <c:v>Minggu ke-4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Order'!$D$4:$D$7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538-4413-96B0-DD579B6A323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Order'!$F$3</c15:sqref>
                        </c15:formulaRef>
                      </c:ext>
                    </c:extLst>
                    <c:strCache>
                      <c:ptCount val="1"/>
                      <c:pt idx="0">
                        <c:v>Target minggu ini 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Order'!$B$4:$B$7</c15:sqref>
                        </c15:formulaRef>
                      </c:ext>
                    </c:extLst>
                    <c:strCache>
                      <c:ptCount val="4"/>
                      <c:pt idx="0">
                        <c:v>Minggu ke-1</c:v>
                      </c:pt>
                      <c:pt idx="1">
                        <c:v>Minggu ke-2</c:v>
                      </c:pt>
                      <c:pt idx="2">
                        <c:v>Minggu ke-3</c:v>
                      </c:pt>
                      <c:pt idx="3">
                        <c:v>Minggu ke-4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Order'!$F$4:$F$7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538-4413-96B0-DD579B6A3239}"/>
                  </c:ext>
                </c:extLst>
              </c15:ser>
            </c15:filteredBarSeries>
          </c:ext>
        </c:extLst>
      </c:barChart>
      <c:catAx>
        <c:axId val="47704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40112"/>
        <c:crosses val="autoZero"/>
        <c:auto val="1"/>
        <c:lblAlgn val="ctr"/>
        <c:lblOffset val="100"/>
        <c:noMultiLvlLbl val="0"/>
      </c:catAx>
      <c:valAx>
        <c:axId val="47704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447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LAPORAN STATUS ORDER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'Status Order'!$B$33:$B$35</c:f>
              <c:strCache>
                <c:ptCount val="3"/>
                <c:pt idx="0">
                  <c:v>Jumlah Total Order</c:v>
                </c:pt>
                <c:pt idx="1">
                  <c:v>Jumlah Kendala</c:v>
                </c:pt>
                <c:pt idx="2">
                  <c:v>Jumlah Pencapaian Oder</c:v>
                </c:pt>
              </c:strCache>
            </c:strRef>
          </c:cat>
          <c:val>
            <c:numRef>
              <c:f>'Status Order'!$C$33:$C$35</c:f>
              <c:numCache>
                <c:formatCode>General</c:formatCode>
                <c:ptCount val="3"/>
                <c:pt idx="0">
                  <c:v>77</c:v>
                </c:pt>
                <c:pt idx="1">
                  <c:v>12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5-4619-B728-F01960D9E4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00024296"/>
        <c:axId val="600027248"/>
      </c:barChart>
      <c:catAx>
        <c:axId val="600024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27248"/>
        <c:crosses val="autoZero"/>
        <c:auto val="1"/>
        <c:lblAlgn val="ctr"/>
        <c:lblOffset val="100"/>
        <c:noMultiLvlLbl val="0"/>
      </c:catAx>
      <c:valAx>
        <c:axId val="6000272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2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D"/>
              <a:t>LAPORAN STATUS ORDER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A0-48F4-9A6B-40718FA040D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A0-48F4-9A6B-40718FA040D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A0-48F4-9A6B-40718FA040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'Status Order'!$B$33:$B$35</c:f>
              <c:strCache>
                <c:ptCount val="3"/>
                <c:pt idx="0">
                  <c:v>Jumlah Total Order</c:v>
                </c:pt>
                <c:pt idx="1">
                  <c:v>Jumlah Kendala</c:v>
                </c:pt>
                <c:pt idx="2">
                  <c:v>Jumlah Pencapaian Oder</c:v>
                </c:pt>
              </c:strCache>
            </c:strRef>
          </c:cat>
          <c:val>
            <c:numRef>
              <c:f>'Status Order'!$C$33:$C$35</c:f>
              <c:numCache>
                <c:formatCode>General</c:formatCode>
                <c:ptCount val="3"/>
                <c:pt idx="0">
                  <c:v>77</c:v>
                </c:pt>
                <c:pt idx="1">
                  <c:v>12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B6-4B06-9547-00BA909E7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Jenis Kendala Yang Sering Terjadi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'Status Order'!$E$33:$E$36</c:f>
              <c:strCache>
                <c:ptCount val="4"/>
                <c:pt idx="0">
                  <c:v>Perbaikan Design</c:v>
                </c:pt>
                <c:pt idx="1">
                  <c:v>Screen Bermasalah</c:v>
                </c:pt>
                <c:pt idx="2">
                  <c:v>Order di tunda</c:v>
                </c:pt>
                <c:pt idx="3">
                  <c:v>Order di batalkan</c:v>
                </c:pt>
              </c:strCache>
            </c:strRef>
          </c:cat>
          <c:val>
            <c:numRef>
              <c:f>'Status Order'!$F$33:$F$36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F-460E-872F-1238AF649A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588638424"/>
        <c:axId val="588638096"/>
      </c:barChart>
      <c:catAx>
        <c:axId val="588638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38096"/>
        <c:crosses val="autoZero"/>
        <c:auto val="1"/>
        <c:lblAlgn val="ctr"/>
        <c:lblOffset val="100"/>
        <c:noMultiLvlLbl val="0"/>
      </c:catAx>
      <c:valAx>
        <c:axId val="5886380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3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D"/>
              <a:t>Jenis Kendala Yang Sering Terjadi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799-47E1-B2A4-62AEC0F932B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799-47E1-B2A4-62AEC0F932B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99-47E1-B2A4-62AEC0F932B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99-47E1-B2A4-62AEC0F932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'Status Order'!$E$33:$E$36</c:f>
              <c:strCache>
                <c:ptCount val="4"/>
                <c:pt idx="0">
                  <c:v>Perbaikan Design</c:v>
                </c:pt>
                <c:pt idx="1">
                  <c:v>Screen Bermasalah</c:v>
                </c:pt>
                <c:pt idx="2">
                  <c:v>Order di tunda</c:v>
                </c:pt>
                <c:pt idx="3">
                  <c:v>Order di batalkan</c:v>
                </c:pt>
              </c:strCache>
            </c:strRef>
          </c:cat>
          <c:val>
            <c:numRef>
              <c:f>'Status Order'!$F$33:$F$36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7-4D45-BB44-02541A46793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4"/>
          <c:order val="4"/>
          <c:tx>
            <c:strRef>
              <c:f>'Status Order'!$G$3</c:f>
              <c:strCache>
                <c:ptCount val="1"/>
                <c:pt idx="0">
                  <c:v>Jumlah order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C89-4900-BC0A-48EE6BC97AB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C89-4900-BC0A-48EE6BC97AB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C89-4900-BC0A-48EE6BC97AB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C89-4900-BC0A-48EE6BC97A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'Status Order'!$B$4:$B$7</c:f>
              <c:strCache>
                <c:ptCount val="4"/>
                <c:pt idx="0">
                  <c:v>Minggu ke-1</c:v>
                </c:pt>
                <c:pt idx="1">
                  <c:v>Minggu ke-2</c:v>
                </c:pt>
                <c:pt idx="2">
                  <c:v>Minggu ke-3</c:v>
                </c:pt>
                <c:pt idx="3">
                  <c:v>Minggu ke-4</c:v>
                </c:pt>
              </c:strCache>
            </c:strRef>
          </c:cat>
          <c:val>
            <c:numRef>
              <c:f>'Status Order'!$G$4:$G$7</c:f>
              <c:numCache>
                <c:formatCode>General</c:formatCode>
                <c:ptCount val="4"/>
                <c:pt idx="0">
                  <c:v>17</c:v>
                </c:pt>
                <c:pt idx="1">
                  <c:v>21</c:v>
                </c:pt>
                <c:pt idx="2">
                  <c:v>18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95-4A00-B940-D7A79FDEF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'Status Order'!$C$3</c15:sqref>
                        </c15:formulaRef>
                      </c:ext>
                    </c:extLst>
                    <c:strCache>
                      <c:ptCount val="1"/>
                      <c:pt idx="0">
                        <c:v>Kode Client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9-6C89-4900-BC0A-48EE6BC97ABA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B-6C89-4900-BC0A-48EE6BC97ABA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D-6C89-4900-BC0A-48EE6BC97ABA}"/>
                    </c:ext>
                  </c:extLst>
                </c:dPt>
                <c:dPt>
                  <c:idx val="3"/>
                  <c:bubble3D val="0"/>
                  <c:spPr>
                    <a:gradFill rotWithShape="1">
                      <a:gsLst>
                        <a:gs pos="0">
                          <a:schemeClr val="accent4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F-6C89-4900-BC0A-48EE6BC97ABA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'Status Order'!$B$4:$B$7</c15:sqref>
                        </c15:formulaRef>
                      </c:ext>
                    </c:extLst>
                    <c:strCache>
                      <c:ptCount val="4"/>
                      <c:pt idx="0">
                        <c:v>Minggu ke-1</c:v>
                      </c:pt>
                      <c:pt idx="1">
                        <c:v>Minggu ke-2</c:v>
                      </c:pt>
                      <c:pt idx="2">
                        <c:v>Minggu ke-3</c:v>
                      </c:pt>
                      <c:pt idx="3">
                        <c:v>Minggu ke-4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'Status Order'!$C$4:$C$7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F595-4A00-B940-D7A79FDEFCAC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Order'!$D$3</c15:sqref>
                        </c15:formulaRef>
                      </c:ext>
                    </c:extLst>
                    <c:strCache>
                      <c:ptCount val="1"/>
                      <c:pt idx="0">
                        <c:v>Nama Client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1-6C89-4900-BC0A-48EE6BC97ABA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3-6C89-4900-BC0A-48EE6BC97ABA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6C89-4900-BC0A-48EE6BC97ABA}"/>
                    </c:ext>
                  </c:extLst>
                </c:dPt>
                <c:dPt>
                  <c:idx val="3"/>
                  <c:bubble3D val="0"/>
                  <c:spPr>
                    <a:gradFill rotWithShape="1">
                      <a:gsLst>
                        <a:gs pos="0">
                          <a:schemeClr val="accent4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6C89-4900-BC0A-48EE6BC97ABA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Order'!$B$4:$B$7</c15:sqref>
                        </c15:formulaRef>
                      </c:ext>
                    </c:extLst>
                    <c:strCache>
                      <c:ptCount val="4"/>
                      <c:pt idx="0">
                        <c:v>Minggu ke-1</c:v>
                      </c:pt>
                      <c:pt idx="1">
                        <c:v>Minggu ke-2</c:v>
                      </c:pt>
                      <c:pt idx="2">
                        <c:v>Minggu ke-3</c:v>
                      </c:pt>
                      <c:pt idx="3">
                        <c:v>Minggu ke-4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Order'!$D$4:$D$7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595-4A00-B940-D7A79FDEFCAC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Order'!$E$3</c15:sqref>
                        </c15:formulaRef>
                      </c:ext>
                    </c:extLst>
                    <c:strCache>
                      <c:ptCount val="1"/>
                      <c:pt idx="0">
                        <c:v>Jumlah kendala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6C89-4900-BC0A-48EE6BC97ABA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6C89-4900-BC0A-48EE6BC97ABA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6C89-4900-BC0A-48EE6BC97ABA}"/>
                    </c:ext>
                  </c:extLst>
                </c:dPt>
                <c:dPt>
                  <c:idx val="3"/>
                  <c:bubble3D val="0"/>
                  <c:spPr>
                    <a:gradFill rotWithShape="1">
                      <a:gsLst>
                        <a:gs pos="0">
                          <a:schemeClr val="accent4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6C89-4900-BC0A-48EE6BC97ABA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Order'!$B$4:$B$7</c15:sqref>
                        </c15:formulaRef>
                      </c:ext>
                    </c:extLst>
                    <c:strCache>
                      <c:ptCount val="4"/>
                      <c:pt idx="0">
                        <c:v>Minggu ke-1</c:v>
                      </c:pt>
                      <c:pt idx="1">
                        <c:v>Minggu ke-2</c:v>
                      </c:pt>
                      <c:pt idx="2">
                        <c:v>Minggu ke-3</c:v>
                      </c:pt>
                      <c:pt idx="3">
                        <c:v>Minggu ke-4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Order'!$E$4:$E$7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</c:v>
                      </c:pt>
                      <c:pt idx="1">
                        <c:v>5</c:v>
                      </c:pt>
                      <c:pt idx="2">
                        <c:v>3</c:v>
                      </c:pt>
                      <c:pt idx="3">
                        <c:v>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595-4A00-B940-D7A79FDEFCAC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Order'!$F$3</c15:sqref>
                        </c15:formulaRef>
                      </c:ext>
                    </c:extLst>
                    <c:strCache>
                      <c:ptCount val="1"/>
                      <c:pt idx="0">
                        <c:v>Target minggu ini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6C89-4900-BC0A-48EE6BC97ABA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6C89-4900-BC0A-48EE6BC97ABA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6C89-4900-BC0A-48EE6BC97ABA}"/>
                    </c:ext>
                  </c:extLst>
                </c:dPt>
                <c:dPt>
                  <c:idx val="3"/>
                  <c:bubble3D val="0"/>
                  <c:spPr>
                    <a:gradFill rotWithShape="1">
                      <a:gsLst>
                        <a:gs pos="0">
                          <a:schemeClr val="accent4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6C89-4900-BC0A-48EE6BC97ABA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Order'!$B$4:$B$7</c15:sqref>
                        </c15:formulaRef>
                      </c:ext>
                    </c:extLst>
                    <c:strCache>
                      <c:ptCount val="4"/>
                      <c:pt idx="0">
                        <c:v>Minggu ke-1</c:v>
                      </c:pt>
                      <c:pt idx="1">
                        <c:v>Minggu ke-2</c:v>
                      </c:pt>
                      <c:pt idx="2">
                        <c:v>Minggu ke-3</c:v>
                      </c:pt>
                      <c:pt idx="3">
                        <c:v>Minggu ke-4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'Status Order'!$F$4:$F$7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595-4A00-B940-D7A79FDEFCAC}"/>
                  </c:ext>
                </c:extLst>
              </c15:ser>
            </c15:filteredPieSeries>
          </c:ext>
        </c:extLst>
      </c:pieChart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9</xdr:row>
      <xdr:rowOff>11205</xdr:rowOff>
    </xdr:from>
    <xdr:to>
      <xdr:col>5</xdr:col>
      <xdr:colOff>4001</xdr:colOff>
      <xdr:row>26</xdr:row>
      <xdr:rowOff>33618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E205CE-ADBD-45F8-ACC9-967C83AEB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5602</xdr:colOff>
      <xdr:row>38</xdr:row>
      <xdr:rowOff>1121</xdr:rowOff>
    </xdr:from>
    <xdr:to>
      <xdr:col>3</xdr:col>
      <xdr:colOff>1137396</xdr:colOff>
      <xdr:row>52</xdr:row>
      <xdr:rowOff>77321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4764079-4693-4FF0-B52C-83465EE515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3</xdr:col>
      <xdr:colOff>1131794</xdr:colOff>
      <xdr:row>69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2CD2848-A7FF-4240-A815-3AA3EF71F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16808</xdr:colOff>
      <xdr:row>38</xdr:row>
      <xdr:rowOff>12325</xdr:rowOff>
    </xdr:from>
    <xdr:to>
      <xdr:col>9</xdr:col>
      <xdr:colOff>565896</xdr:colOff>
      <xdr:row>52</xdr:row>
      <xdr:rowOff>88525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4E11484-A682-4265-A51C-596EF8776A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55</xdr:row>
      <xdr:rowOff>0</xdr:rowOff>
    </xdr:from>
    <xdr:to>
      <xdr:col>10</xdr:col>
      <xdr:colOff>112058</xdr:colOff>
      <xdr:row>69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9167D95-547A-4BDD-A4DF-28B4E69107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9</xdr:row>
      <xdr:rowOff>0</xdr:rowOff>
    </xdr:from>
    <xdr:to>
      <xdr:col>13</xdr:col>
      <xdr:colOff>22411</xdr:colOff>
      <xdr:row>26</xdr:row>
      <xdr:rowOff>22413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E4C21B7-146C-4378-8ABE-E54042BC35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D30C-E066-4FEC-8E56-65C7B1DB036E}">
  <sheetPr codeName="Sheet6"/>
  <dimension ref="B1:M157"/>
  <sheetViews>
    <sheetView zoomScale="70" zoomScaleNormal="70" workbookViewId="0">
      <selection activeCell="B2" sqref="B2:I4"/>
    </sheetView>
  </sheetViews>
  <sheetFormatPr defaultRowHeight="15" x14ac:dyDescent="0.25"/>
  <cols>
    <col min="1" max="1" width="9.140625" style="14"/>
    <col min="2" max="2" width="14.28515625" style="14" customWidth="1"/>
    <col min="3" max="3" width="23.28515625" style="14" customWidth="1"/>
    <col min="4" max="4" width="22.140625" style="14" customWidth="1"/>
    <col min="5" max="5" width="26" style="14" customWidth="1"/>
    <col min="6" max="6" width="21.5703125" style="14" customWidth="1"/>
    <col min="7" max="8" width="19.85546875" style="14" customWidth="1"/>
    <col min="9" max="9" width="23.7109375" style="14" customWidth="1"/>
    <col min="10" max="10" width="17.5703125" style="14" customWidth="1"/>
    <col min="11" max="11" width="17.42578125" style="14" customWidth="1"/>
    <col min="12" max="12" width="22.7109375" style="14" customWidth="1"/>
    <col min="13" max="13" width="16.140625" style="14" customWidth="1"/>
    <col min="14" max="16384" width="9.140625" style="14"/>
  </cols>
  <sheetData>
    <row r="1" spans="2:13" x14ac:dyDescent="0.25">
      <c r="B1" s="5"/>
      <c r="C1" s="5"/>
      <c r="D1" s="5"/>
      <c r="E1" s="5"/>
      <c r="F1" s="5"/>
      <c r="G1" s="5"/>
      <c r="H1" s="5"/>
      <c r="I1" s="5"/>
      <c r="J1" s="20"/>
      <c r="K1" s="5"/>
      <c r="L1" s="5"/>
      <c r="M1" s="5"/>
    </row>
    <row r="2" spans="2:13" ht="15" customHeight="1" x14ac:dyDescent="0.25">
      <c r="B2" s="111" t="s">
        <v>51</v>
      </c>
      <c r="C2" s="111"/>
      <c r="D2" s="111"/>
      <c r="E2" s="111"/>
      <c r="F2" s="111"/>
      <c r="G2" s="111"/>
      <c r="H2" s="111"/>
      <c r="I2" s="111"/>
      <c r="J2" s="20"/>
      <c r="K2" s="5"/>
    </row>
    <row r="3" spans="2:13" ht="15" customHeight="1" x14ac:dyDescent="0.25">
      <c r="B3" s="111"/>
      <c r="C3" s="111"/>
      <c r="D3" s="111"/>
      <c r="E3" s="111"/>
      <c r="F3" s="111"/>
      <c r="G3" s="111"/>
      <c r="H3" s="111"/>
      <c r="I3" s="111"/>
      <c r="J3" s="20"/>
      <c r="K3" s="5"/>
    </row>
    <row r="4" spans="2:13" ht="15" customHeight="1" x14ac:dyDescent="0.25">
      <c r="B4" s="111"/>
      <c r="C4" s="111"/>
      <c r="D4" s="111"/>
      <c r="E4" s="111"/>
      <c r="F4" s="111"/>
      <c r="G4" s="111"/>
      <c r="H4" s="111"/>
      <c r="I4" s="111"/>
      <c r="J4" s="20"/>
      <c r="K4" s="5"/>
    </row>
    <row r="5" spans="2:13" ht="15.75" thickBot="1" x14ac:dyDescent="0.3">
      <c r="D5" s="5"/>
      <c r="E5" s="5"/>
      <c r="F5" s="5"/>
      <c r="G5" s="5"/>
      <c r="H5" s="5"/>
      <c r="I5" s="5"/>
      <c r="J5" s="20"/>
      <c r="K5" s="5"/>
    </row>
    <row r="6" spans="2:13" ht="15.75" thickBot="1" x14ac:dyDescent="0.3">
      <c r="B6" s="110" t="s">
        <v>30</v>
      </c>
      <c r="C6" s="110"/>
      <c r="D6" s="110"/>
      <c r="E6" s="110"/>
      <c r="F6" s="110"/>
      <c r="G6" s="110"/>
      <c r="H6" s="110"/>
      <c r="I6" s="110"/>
      <c r="J6" s="5"/>
      <c r="K6" s="62" t="s">
        <v>40</v>
      </c>
      <c r="L6" s="63" t="s">
        <v>37</v>
      </c>
    </row>
    <row r="7" spans="2:13" ht="18.75" x14ac:dyDescent="0.25">
      <c r="B7" s="25" t="s">
        <v>34</v>
      </c>
      <c r="C7" s="21" t="s">
        <v>0</v>
      </c>
      <c r="D7" s="22" t="s">
        <v>4</v>
      </c>
      <c r="E7" s="21" t="s">
        <v>18</v>
      </c>
      <c r="F7" s="22" t="s">
        <v>49</v>
      </c>
      <c r="G7" s="21" t="s">
        <v>1</v>
      </c>
      <c r="H7" s="22" t="s">
        <v>2</v>
      </c>
      <c r="I7" s="23" t="s">
        <v>40</v>
      </c>
      <c r="K7" s="60">
        <v>1</v>
      </c>
      <c r="L7" s="57" t="s">
        <v>5</v>
      </c>
    </row>
    <row r="8" spans="2:13" x14ac:dyDescent="0.25">
      <c r="B8" s="94" t="s">
        <v>12</v>
      </c>
      <c r="C8" s="107">
        <v>43739</v>
      </c>
      <c r="D8" s="100">
        <v>4</v>
      </c>
      <c r="E8" s="6" t="s">
        <v>19</v>
      </c>
      <c r="F8" s="6">
        <v>181</v>
      </c>
      <c r="G8" s="7">
        <v>4329</v>
      </c>
      <c r="H8" s="7">
        <v>0</v>
      </c>
      <c r="I8" s="19" t="s">
        <v>7</v>
      </c>
      <c r="K8" s="60">
        <v>2</v>
      </c>
      <c r="L8" s="58" t="s">
        <v>39</v>
      </c>
    </row>
    <row r="9" spans="2:13" x14ac:dyDescent="0.25">
      <c r="B9" s="95"/>
      <c r="C9" s="108"/>
      <c r="D9" s="101"/>
      <c r="E9" s="6" t="s">
        <v>20</v>
      </c>
      <c r="F9" s="6">
        <v>257</v>
      </c>
      <c r="G9" s="8">
        <v>4388</v>
      </c>
      <c r="H9" s="8">
        <v>0</v>
      </c>
      <c r="I9" s="10" t="s">
        <v>7</v>
      </c>
      <c r="K9" s="60">
        <v>3</v>
      </c>
      <c r="L9" s="58" t="s">
        <v>41</v>
      </c>
    </row>
    <row r="10" spans="2:13" x14ac:dyDescent="0.25">
      <c r="B10" s="95"/>
      <c r="C10" s="108"/>
      <c r="D10" s="101"/>
      <c r="E10" s="6" t="s">
        <v>21</v>
      </c>
      <c r="F10" s="6">
        <v>309</v>
      </c>
      <c r="G10" s="8">
        <v>4395</v>
      </c>
      <c r="H10" s="8">
        <v>0</v>
      </c>
      <c r="I10" s="10" t="s">
        <v>7</v>
      </c>
      <c r="K10" s="60">
        <v>4</v>
      </c>
      <c r="L10" s="58" t="s">
        <v>42</v>
      </c>
    </row>
    <row r="11" spans="2:13" ht="15.75" thickBot="1" x14ac:dyDescent="0.3">
      <c r="B11" s="95"/>
      <c r="C11" s="108"/>
      <c r="D11" s="101"/>
      <c r="E11" s="6" t="s">
        <v>20</v>
      </c>
      <c r="F11" s="6">
        <v>178</v>
      </c>
      <c r="G11" s="8">
        <v>4281</v>
      </c>
      <c r="H11" s="8">
        <v>0</v>
      </c>
      <c r="I11" s="10" t="s">
        <v>7</v>
      </c>
      <c r="K11" s="61">
        <v>5</v>
      </c>
      <c r="L11" s="59" t="s">
        <v>46</v>
      </c>
    </row>
    <row r="12" spans="2:13" x14ac:dyDescent="0.25">
      <c r="B12" s="95"/>
      <c r="C12" s="108"/>
      <c r="D12" s="101"/>
      <c r="E12" s="6"/>
      <c r="F12" s="6"/>
      <c r="G12" s="8"/>
      <c r="H12" s="8"/>
      <c r="I12" s="10"/>
    </row>
    <row r="13" spans="2:13" x14ac:dyDescent="0.25">
      <c r="B13" s="96"/>
      <c r="C13" s="109"/>
      <c r="D13" s="102"/>
      <c r="E13" s="6"/>
      <c r="F13" s="6"/>
      <c r="G13" s="9"/>
      <c r="H13" s="9"/>
      <c r="I13" s="11"/>
    </row>
    <row r="14" spans="2:13" x14ac:dyDescent="0.25">
      <c r="B14" s="94" t="s">
        <v>13</v>
      </c>
      <c r="C14" s="107">
        <v>43740</v>
      </c>
      <c r="D14" s="112">
        <v>4</v>
      </c>
      <c r="E14" s="12" t="s">
        <v>20</v>
      </c>
      <c r="F14" s="2">
        <v>257</v>
      </c>
      <c r="G14" s="7">
        <v>4394</v>
      </c>
      <c r="H14" s="7">
        <f>SUM(I16)</f>
        <v>0</v>
      </c>
      <c r="I14" s="10" t="s">
        <v>7</v>
      </c>
      <c r="K14" s="30" t="s">
        <v>18</v>
      </c>
      <c r="L14" s="31" t="s">
        <v>9</v>
      </c>
    </row>
    <row r="15" spans="2:13" x14ac:dyDescent="0.25">
      <c r="B15" s="95"/>
      <c r="C15" s="108"/>
      <c r="D15" s="106"/>
      <c r="E15" s="6" t="s">
        <v>21</v>
      </c>
      <c r="F15" s="3">
        <v>285</v>
      </c>
      <c r="G15" s="8">
        <v>4384</v>
      </c>
      <c r="H15" s="8">
        <v>0</v>
      </c>
      <c r="I15" s="10" t="s">
        <v>7</v>
      </c>
      <c r="K15" s="32" t="s">
        <v>19</v>
      </c>
      <c r="L15" s="28">
        <v>1</v>
      </c>
    </row>
    <row r="16" spans="2:13" x14ac:dyDescent="0.25">
      <c r="B16" s="95"/>
      <c r="C16" s="108"/>
      <c r="D16" s="106"/>
      <c r="E16" s="6" t="s">
        <v>22</v>
      </c>
      <c r="F16" s="3">
        <v>259</v>
      </c>
      <c r="G16" s="8">
        <v>3527</v>
      </c>
      <c r="H16" s="8">
        <v>0</v>
      </c>
      <c r="I16" s="10" t="s">
        <v>7</v>
      </c>
      <c r="K16" s="32" t="s">
        <v>20</v>
      </c>
      <c r="L16" s="28">
        <v>2</v>
      </c>
    </row>
    <row r="17" spans="2:12" x14ac:dyDescent="0.25">
      <c r="B17" s="95"/>
      <c r="C17" s="108"/>
      <c r="D17" s="106"/>
      <c r="E17" s="6" t="s">
        <v>21</v>
      </c>
      <c r="F17" s="3">
        <v>351</v>
      </c>
      <c r="G17" s="8">
        <v>4387</v>
      </c>
      <c r="H17" s="8">
        <v>0</v>
      </c>
      <c r="I17" s="10" t="s">
        <v>7</v>
      </c>
      <c r="K17" s="32" t="s">
        <v>21</v>
      </c>
      <c r="L17" s="28">
        <v>3</v>
      </c>
    </row>
    <row r="18" spans="2:12" x14ac:dyDescent="0.25">
      <c r="B18" s="95"/>
      <c r="C18" s="108"/>
      <c r="D18" s="106"/>
      <c r="E18" s="6"/>
      <c r="F18" s="3"/>
      <c r="G18" s="8"/>
      <c r="H18" s="8"/>
      <c r="I18" s="10"/>
      <c r="K18" s="32" t="s">
        <v>22</v>
      </c>
      <c r="L18" s="28">
        <v>4</v>
      </c>
    </row>
    <row r="19" spans="2:12" x14ac:dyDescent="0.25">
      <c r="B19" s="96"/>
      <c r="C19" s="109"/>
      <c r="D19" s="106"/>
      <c r="E19" s="6"/>
      <c r="F19" s="4"/>
      <c r="G19" s="9"/>
      <c r="H19" s="9"/>
      <c r="I19" s="10"/>
      <c r="K19" s="32" t="s">
        <v>23</v>
      </c>
      <c r="L19" s="28">
        <v>5</v>
      </c>
    </row>
    <row r="20" spans="2:12" x14ac:dyDescent="0.25">
      <c r="B20" s="94" t="s">
        <v>14</v>
      </c>
      <c r="C20" s="107">
        <v>43741</v>
      </c>
      <c r="D20" s="112">
        <v>2</v>
      </c>
      <c r="E20" s="2" t="s">
        <v>20</v>
      </c>
      <c r="F20" s="2">
        <v>181</v>
      </c>
      <c r="G20" s="7">
        <v>4375</v>
      </c>
      <c r="H20" s="7">
        <v>1</v>
      </c>
      <c r="I20" s="19">
        <v>1</v>
      </c>
      <c r="K20" s="32" t="s">
        <v>24</v>
      </c>
      <c r="L20" s="28">
        <v>6</v>
      </c>
    </row>
    <row r="21" spans="2:12" x14ac:dyDescent="0.25">
      <c r="B21" s="95"/>
      <c r="C21" s="108"/>
      <c r="D21" s="106"/>
      <c r="E21" s="3" t="s">
        <v>21</v>
      </c>
      <c r="F21" s="3">
        <v>285</v>
      </c>
      <c r="G21" s="8">
        <v>4384</v>
      </c>
      <c r="H21" s="8">
        <v>0</v>
      </c>
      <c r="I21" s="10" t="s">
        <v>7</v>
      </c>
      <c r="K21" s="32" t="s">
        <v>25</v>
      </c>
      <c r="L21" s="28">
        <v>7</v>
      </c>
    </row>
    <row r="22" spans="2:12" x14ac:dyDescent="0.25">
      <c r="B22" s="95"/>
      <c r="C22" s="108"/>
      <c r="D22" s="106"/>
      <c r="E22" s="3"/>
      <c r="F22" s="3"/>
      <c r="G22" s="8"/>
      <c r="H22" s="8"/>
      <c r="I22" s="10"/>
      <c r="K22" s="32" t="s">
        <v>26</v>
      </c>
      <c r="L22" s="28">
        <v>8</v>
      </c>
    </row>
    <row r="23" spans="2:12" x14ac:dyDescent="0.25">
      <c r="B23" s="95"/>
      <c r="C23" s="108"/>
      <c r="D23" s="106"/>
      <c r="E23" s="3"/>
      <c r="F23" s="3"/>
      <c r="G23" s="8"/>
      <c r="H23" s="8"/>
      <c r="I23" s="10"/>
      <c r="K23" s="32" t="s">
        <v>27</v>
      </c>
      <c r="L23" s="28">
        <v>9</v>
      </c>
    </row>
    <row r="24" spans="2:12" x14ac:dyDescent="0.25">
      <c r="B24" s="95"/>
      <c r="C24" s="108"/>
      <c r="D24" s="106"/>
      <c r="E24" s="3"/>
      <c r="F24" s="3"/>
      <c r="G24" s="8"/>
      <c r="H24" s="8"/>
      <c r="I24" s="10"/>
      <c r="K24" s="33" t="s">
        <v>29</v>
      </c>
      <c r="L24" s="29">
        <v>10</v>
      </c>
    </row>
    <row r="25" spans="2:12" x14ac:dyDescent="0.25">
      <c r="B25" s="96"/>
      <c r="C25" s="109"/>
      <c r="D25" s="106"/>
      <c r="E25" s="4"/>
      <c r="F25" s="4"/>
      <c r="G25" s="9"/>
      <c r="H25" s="9"/>
      <c r="I25" s="11"/>
    </row>
    <row r="26" spans="2:12" x14ac:dyDescent="0.25">
      <c r="B26" s="94" t="s">
        <v>15</v>
      </c>
      <c r="C26" s="107">
        <v>43742</v>
      </c>
      <c r="D26" s="112">
        <v>5</v>
      </c>
      <c r="E26" s="2" t="s">
        <v>20</v>
      </c>
      <c r="F26" s="15">
        <v>182</v>
      </c>
      <c r="G26" s="7">
        <v>4375</v>
      </c>
      <c r="H26" s="7">
        <f>SUM(I28)</f>
        <v>0</v>
      </c>
      <c r="I26" s="10" t="s">
        <v>7</v>
      </c>
    </row>
    <row r="27" spans="2:12" x14ac:dyDescent="0.25">
      <c r="B27" s="95"/>
      <c r="C27" s="108"/>
      <c r="D27" s="106"/>
      <c r="E27" s="3" t="s">
        <v>29</v>
      </c>
      <c r="F27" s="15">
        <v>311</v>
      </c>
      <c r="G27" s="8">
        <v>4385</v>
      </c>
      <c r="H27" s="8">
        <v>0</v>
      </c>
      <c r="I27" s="10" t="s">
        <v>7</v>
      </c>
    </row>
    <row r="28" spans="2:12" x14ac:dyDescent="0.25">
      <c r="B28" s="95"/>
      <c r="C28" s="108"/>
      <c r="D28" s="106"/>
      <c r="E28" s="3" t="s">
        <v>21</v>
      </c>
      <c r="F28" s="15">
        <v>306</v>
      </c>
      <c r="G28" s="8">
        <v>4398</v>
      </c>
      <c r="H28" s="8">
        <v>0</v>
      </c>
      <c r="I28" s="10" t="s">
        <v>7</v>
      </c>
    </row>
    <row r="29" spans="2:12" x14ac:dyDescent="0.25">
      <c r="B29" s="95"/>
      <c r="C29" s="108"/>
      <c r="D29" s="106"/>
      <c r="E29" s="3" t="s">
        <v>21</v>
      </c>
      <c r="F29" s="15">
        <v>235</v>
      </c>
      <c r="G29" s="8">
        <v>4267</v>
      </c>
      <c r="H29" s="8">
        <v>0</v>
      </c>
      <c r="I29" s="10" t="s">
        <v>7</v>
      </c>
    </row>
    <row r="30" spans="2:12" x14ac:dyDescent="0.25">
      <c r="B30" s="95"/>
      <c r="C30" s="108"/>
      <c r="D30" s="106"/>
      <c r="E30" s="3" t="s">
        <v>20</v>
      </c>
      <c r="F30" s="15">
        <v>179</v>
      </c>
      <c r="G30" s="8">
        <v>4270</v>
      </c>
      <c r="H30" s="8">
        <v>0</v>
      </c>
      <c r="I30" s="10" t="s">
        <v>7</v>
      </c>
    </row>
    <row r="31" spans="2:12" x14ac:dyDescent="0.25">
      <c r="B31" s="96"/>
      <c r="C31" s="109"/>
      <c r="D31" s="106"/>
      <c r="E31" s="9"/>
      <c r="G31" s="8"/>
      <c r="H31" s="8"/>
      <c r="I31" s="10"/>
    </row>
    <row r="32" spans="2:12" x14ac:dyDescent="0.25">
      <c r="B32" s="94" t="s">
        <v>16</v>
      </c>
      <c r="C32" s="107">
        <v>43743</v>
      </c>
      <c r="D32" s="100">
        <v>2</v>
      </c>
      <c r="E32" s="12" t="s">
        <v>23</v>
      </c>
      <c r="F32" s="12">
        <v>307</v>
      </c>
      <c r="G32" s="7">
        <v>4402</v>
      </c>
      <c r="H32" s="7">
        <f>SUM(I34)</f>
        <v>0</v>
      </c>
      <c r="I32" s="19" t="s">
        <v>7</v>
      </c>
    </row>
    <row r="33" spans="2:9" x14ac:dyDescent="0.25">
      <c r="B33" s="95"/>
      <c r="C33" s="108"/>
      <c r="D33" s="101"/>
      <c r="E33" s="6" t="s">
        <v>20</v>
      </c>
      <c r="F33" s="6">
        <v>242</v>
      </c>
      <c r="G33" s="8">
        <v>4306</v>
      </c>
      <c r="H33" s="8">
        <v>1</v>
      </c>
      <c r="I33" s="10">
        <v>4</v>
      </c>
    </row>
    <row r="34" spans="2:9" x14ac:dyDescent="0.25">
      <c r="B34" s="95"/>
      <c r="C34" s="108"/>
      <c r="D34" s="101"/>
      <c r="E34" s="6"/>
      <c r="F34" s="6"/>
      <c r="G34" s="8"/>
      <c r="H34" s="8"/>
      <c r="I34" s="10"/>
    </row>
    <row r="35" spans="2:9" x14ac:dyDescent="0.25">
      <c r="B35" s="95"/>
      <c r="C35" s="108"/>
      <c r="D35" s="101"/>
      <c r="E35" s="6"/>
      <c r="F35" s="6"/>
      <c r="G35" s="8"/>
      <c r="H35" s="8"/>
      <c r="I35" s="10"/>
    </row>
    <row r="36" spans="2:9" x14ac:dyDescent="0.25">
      <c r="B36" s="95"/>
      <c r="C36" s="108"/>
      <c r="D36" s="101"/>
      <c r="E36" s="6"/>
      <c r="F36" s="6"/>
      <c r="G36" s="8"/>
      <c r="H36" s="8"/>
      <c r="I36" s="10"/>
    </row>
    <row r="37" spans="2:9" x14ac:dyDescent="0.25">
      <c r="B37" s="96"/>
      <c r="C37" s="108"/>
      <c r="D37" s="101"/>
      <c r="E37" s="6"/>
      <c r="F37" s="6"/>
      <c r="G37" s="8"/>
      <c r="H37" s="8"/>
      <c r="I37" s="10"/>
    </row>
    <row r="38" spans="2:9" x14ac:dyDescent="0.25">
      <c r="B38" s="94"/>
      <c r="C38" s="107"/>
      <c r="D38" s="100"/>
      <c r="E38" s="12"/>
      <c r="F38" s="12"/>
      <c r="G38" s="7"/>
      <c r="H38" s="7"/>
      <c r="I38" s="19"/>
    </row>
    <row r="39" spans="2:9" x14ac:dyDescent="0.25">
      <c r="B39" s="95"/>
      <c r="C39" s="108"/>
      <c r="D39" s="101"/>
      <c r="E39" s="6"/>
      <c r="F39" s="6"/>
      <c r="G39" s="8"/>
      <c r="H39" s="8"/>
      <c r="I39" s="10"/>
    </row>
    <row r="40" spans="2:9" x14ac:dyDescent="0.25">
      <c r="B40" s="95"/>
      <c r="C40" s="108"/>
      <c r="D40" s="101"/>
      <c r="E40" s="6"/>
      <c r="F40" s="6"/>
      <c r="G40" s="8"/>
      <c r="H40" s="8"/>
      <c r="I40" s="10"/>
    </row>
    <row r="41" spans="2:9" x14ac:dyDescent="0.25">
      <c r="B41" s="95"/>
      <c r="C41" s="108"/>
      <c r="D41" s="101"/>
      <c r="E41" s="6"/>
      <c r="F41" s="6"/>
      <c r="G41" s="8"/>
      <c r="H41" s="8"/>
      <c r="I41" s="10"/>
    </row>
    <row r="42" spans="2:9" x14ac:dyDescent="0.25">
      <c r="B42" s="95"/>
      <c r="C42" s="108"/>
      <c r="D42" s="101"/>
      <c r="E42" s="6"/>
      <c r="F42" s="6"/>
      <c r="G42" s="8"/>
      <c r="H42" s="8"/>
      <c r="I42" s="10"/>
    </row>
    <row r="43" spans="2:9" x14ac:dyDescent="0.25">
      <c r="B43" s="96"/>
      <c r="C43" s="109"/>
      <c r="D43" s="102"/>
      <c r="E43" s="13"/>
      <c r="F43" s="13"/>
      <c r="G43" s="9"/>
      <c r="H43" s="9"/>
      <c r="I43" s="11"/>
    </row>
    <row r="44" spans="2:9" ht="15.75" thickBot="1" x14ac:dyDescent="0.3">
      <c r="B44" s="103" t="s">
        <v>31</v>
      </c>
      <c r="C44" s="104"/>
      <c r="D44" s="104"/>
      <c r="E44" s="104"/>
      <c r="F44" s="104"/>
      <c r="G44" s="104"/>
      <c r="H44" s="104"/>
      <c r="I44" s="105"/>
    </row>
    <row r="45" spans="2:9" ht="18.75" x14ac:dyDescent="0.25">
      <c r="B45" s="25" t="s">
        <v>34</v>
      </c>
      <c r="C45" s="21" t="s">
        <v>0</v>
      </c>
      <c r="D45" s="22" t="s">
        <v>4</v>
      </c>
      <c r="E45" s="21" t="s">
        <v>18</v>
      </c>
      <c r="F45" s="22" t="s">
        <v>28</v>
      </c>
      <c r="G45" s="21" t="s">
        <v>1</v>
      </c>
      <c r="H45" s="22" t="s">
        <v>2</v>
      </c>
      <c r="I45" s="23" t="s">
        <v>3</v>
      </c>
    </row>
    <row r="46" spans="2:9" x14ac:dyDescent="0.25">
      <c r="B46" s="94" t="s">
        <v>17</v>
      </c>
      <c r="C46" s="97">
        <v>43745</v>
      </c>
      <c r="D46" s="100">
        <v>4</v>
      </c>
      <c r="E46" s="16" t="s">
        <v>20</v>
      </c>
      <c r="F46" s="43">
        <v>242</v>
      </c>
      <c r="G46" s="26">
        <v>4347</v>
      </c>
      <c r="H46" s="40">
        <v>1</v>
      </c>
      <c r="I46" s="19">
        <v>3</v>
      </c>
    </row>
    <row r="47" spans="2:9" x14ac:dyDescent="0.25">
      <c r="B47" s="95"/>
      <c r="C47" s="98"/>
      <c r="D47" s="101"/>
      <c r="E47" s="15" t="s">
        <v>21</v>
      </c>
      <c r="F47" s="44">
        <v>306</v>
      </c>
      <c r="G47" s="5">
        <v>4398</v>
      </c>
      <c r="H47" s="41">
        <v>0</v>
      </c>
      <c r="I47" s="10" t="s">
        <v>7</v>
      </c>
    </row>
    <row r="48" spans="2:9" x14ac:dyDescent="0.25">
      <c r="B48" s="95"/>
      <c r="C48" s="98"/>
      <c r="D48" s="101"/>
      <c r="E48" s="15" t="s">
        <v>20</v>
      </c>
      <c r="F48" s="44">
        <v>304</v>
      </c>
      <c r="G48" s="5">
        <v>4396</v>
      </c>
      <c r="H48" s="41">
        <v>0</v>
      </c>
      <c r="I48" s="10" t="s">
        <v>7</v>
      </c>
    </row>
    <row r="49" spans="2:9" x14ac:dyDescent="0.25">
      <c r="B49" s="95"/>
      <c r="C49" s="98"/>
      <c r="D49" s="101"/>
      <c r="E49" s="15" t="s">
        <v>20</v>
      </c>
      <c r="F49" s="44">
        <v>301</v>
      </c>
      <c r="G49" s="5">
        <v>4361</v>
      </c>
      <c r="H49" s="41">
        <v>1</v>
      </c>
      <c r="I49" s="10">
        <v>3</v>
      </c>
    </row>
    <row r="50" spans="2:9" x14ac:dyDescent="0.25">
      <c r="B50" s="95"/>
      <c r="C50" s="98"/>
      <c r="D50" s="101"/>
      <c r="E50" s="15"/>
      <c r="F50" s="44"/>
      <c r="G50" s="5"/>
      <c r="H50" s="41"/>
      <c r="I50" s="10"/>
    </row>
    <row r="51" spans="2:9" x14ac:dyDescent="0.25">
      <c r="B51" s="96"/>
      <c r="C51" s="99"/>
      <c r="D51" s="102"/>
      <c r="E51" s="27"/>
      <c r="F51" s="42"/>
      <c r="G51" s="27"/>
      <c r="H51" s="42"/>
      <c r="I51" s="11"/>
    </row>
    <row r="52" spans="2:9" x14ac:dyDescent="0.25">
      <c r="B52" s="94" t="s">
        <v>12</v>
      </c>
      <c r="C52" s="97">
        <v>43746</v>
      </c>
      <c r="D52" s="100">
        <v>4</v>
      </c>
      <c r="E52" s="15" t="s">
        <v>27</v>
      </c>
      <c r="F52" s="44">
        <v>184</v>
      </c>
      <c r="G52" s="5">
        <v>2500</v>
      </c>
      <c r="H52" s="41">
        <f>SUM(I54)</f>
        <v>0</v>
      </c>
      <c r="I52" s="10" t="s">
        <v>7</v>
      </c>
    </row>
    <row r="53" spans="2:9" x14ac:dyDescent="0.25">
      <c r="B53" s="95"/>
      <c r="C53" s="98"/>
      <c r="D53" s="101"/>
      <c r="E53" s="15" t="s">
        <v>26</v>
      </c>
      <c r="F53" s="44">
        <v>186</v>
      </c>
      <c r="G53" s="5">
        <v>4357</v>
      </c>
      <c r="H53" s="41">
        <v>1</v>
      </c>
      <c r="I53" s="10">
        <v>4</v>
      </c>
    </row>
    <row r="54" spans="2:9" x14ac:dyDescent="0.25">
      <c r="B54" s="95"/>
      <c r="C54" s="98"/>
      <c r="D54" s="101"/>
      <c r="E54" s="15" t="s">
        <v>27</v>
      </c>
      <c r="F54" s="44">
        <v>317</v>
      </c>
      <c r="G54" s="5">
        <v>3968</v>
      </c>
      <c r="H54" s="41">
        <v>0</v>
      </c>
      <c r="I54" s="10" t="s">
        <v>7</v>
      </c>
    </row>
    <row r="55" spans="2:9" x14ac:dyDescent="0.25">
      <c r="B55" s="95"/>
      <c r="C55" s="98"/>
      <c r="D55" s="101"/>
      <c r="E55" s="15" t="s">
        <v>19</v>
      </c>
      <c r="F55" s="44">
        <v>310</v>
      </c>
      <c r="G55" s="5">
        <v>4401</v>
      </c>
      <c r="H55" s="41">
        <v>0</v>
      </c>
      <c r="I55" s="10" t="s">
        <v>7</v>
      </c>
    </row>
    <row r="56" spans="2:9" x14ac:dyDescent="0.25">
      <c r="B56" s="95"/>
      <c r="C56" s="98"/>
      <c r="D56" s="101"/>
      <c r="E56" s="15"/>
      <c r="F56" s="44"/>
      <c r="G56" s="5"/>
      <c r="H56" s="41"/>
      <c r="I56" s="10"/>
    </row>
    <row r="57" spans="2:9" x14ac:dyDescent="0.25">
      <c r="B57" s="96"/>
      <c r="C57" s="99"/>
      <c r="D57" s="102"/>
      <c r="E57" s="5"/>
      <c r="F57" s="41"/>
      <c r="G57" s="5"/>
      <c r="H57" s="41"/>
      <c r="I57" s="10"/>
    </row>
    <row r="58" spans="2:9" x14ac:dyDescent="0.25">
      <c r="B58" s="94" t="s">
        <v>13</v>
      </c>
      <c r="C58" s="97">
        <v>43747</v>
      </c>
      <c r="D58" s="100">
        <v>3</v>
      </c>
      <c r="E58" s="16" t="s">
        <v>21</v>
      </c>
      <c r="F58" s="43">
        <v>279</v>
      </c>
      <c r="G58" s="26">
        <v>4399</v>
      </c>
      <c r="H58" s="40">
        <f>SUM(I60)</f>
        <v>0</v>
      </c>
      <c r="I58" s="19" t="s">
        <v>7</v>
      </c>
    </row>
    <row r="59" spans="2:9" x14ac:dyDescent="0.25">
      <c r="B59" s="95"/>
      <c r="C59" s="98"/>
      <c r="D59" s="101"/>
      <c r="E59" s="15" t="s">
        <v>19</v>
      </c>
      <c r="F59" s="44">
        <v>206</v>
      </c>
      <c r="G59" s="5">
        <v>4408</v>
      </c>
      <c r="H59" s="41">
        <v>1</v>
      </c>
      <c r="I59" s="10">
        <v>3</v>
      </c>
    </row>
    <row r="60" spans="2:9" x14ac:dyDescent="0.25">
      <c r="B60" s="95"/>
      <c r="C60" s="98"/>
      <c r="D60" s="101"/>
      <c r="E60" s="15" t="s">
        <v>23</v>
      </c>
      <c r="F60" s="44">
        <v>279</v>
      </c>
      <c r="G60" s="5">
        <v>4369</v>
      </c>
      <c r="H60" s="41">
        <v>0</v>
      </c>
      <c r="I60" s="10" t="s">
        <v>7</v>
      </c>
    </row>
    <row r="61" spans="2:9" x14ac:dyDescent="0.25">
      <c r="B61" s="95"/>
      <c r="C61" s="98"/>
      <c r="D61" s="101"/>
      <c r="E61" s="15"/>
      <c r="F61" s="44"/>
      <c r="G61" s="5"/>
      <c r="H61" s="41"/>
      <c r="I61" s="10"/>
    </row>
    <row r="62" spans="2:9" x14ac:dyDescent="0.25">
      <c r="B62" s="95"/>
      <c r="C62" s="98"/>
      <c r="D62" s="101"/>
      <c r="E62" s="15"/>
      <c r="F62" s="44"/>
      <c r="G62" s="5"/>
      <c r="H62" s="41"/>
      <c r="I62" s="10"/>
    </row>
    <row r="63" spans="2:9" x14ac:dyDescent="0.25">
      <c r="B63" s="96"/>
      <c r="C63" s="99"/>
      <c r="D63" s="102"/>
      <c r="E63" s="17"/>
      <c r="F63" s="45"/>
      <c r="G63" s="27"/>
      <c r="H63" s="42"/>
      <c r="I63" s="11"/>
    </row>
    <row r="64" spans="2:9" x14ac:dyDescent="0.25">
      <c r="B64" s="94" t="s">
        <v>14</v>
      </c>
      <c r="C64" s="97">
        <v>43748</v>
      </c>
      <c r="D64" s="100">
        <v>4</v>
      </c>
      <c r="E64" s="16" t="s">
        <v>21</v>
      </c>
      <c r="F64" s="43">
        <v>206</v>
      </c>
      <c r="G64" s="26">
        <v>4403</v>
      </c>
      <c r="H64" s="40">
        <f>SUM(I66)</f>
        <v>0</v>
      </c>
      <c r="I64" s="19" t="s">
        <v>7</v>
      </c>
    </row>
    <row r="65" spans="2:9" x14ac:dyDescent="0.25">
      <c r="B65" s="95"/>
      <c r="C65" s="98"/>
      <c r="D65" s="101"/>
      <c r="E65" s="15" t="s">
        <v>23</v>
      </c>
      <c r="F65" s="44">
        <v>279</v>
      </c>
      <c r="G65" s="5">
        <v>4372</v>
      </c>
      <c r="H65" s="41">
        <v>0</v>
      </c>
      <c r="I65" s="10" t="s">
        <v>7</v>
      </c>
    </row>
    <row r="66" spans="2:9" x14ac:dyDescent="0.25">
      <c r="B66" s="95"/>
      <c r="C66" s="98"/>
      <c r="D66" s="101"/>
      <c r="E66" s="15" t="s">
        <v>19</v>
      </c>
      <c r="F66" s="44">
        <v>310</v>
      </c>
      <c r="G66" s="5">
        <v>4411</v>
      </c>
      <c r="H66" s="41">
        <v>0</v>
      </c>
      <c r="I66" s="10" t="s">
        <v>7</v>
      </c>
    </row>
    <row r="67" spans="2:9" x14ac:dyDescent="0.25">
      <c r="B67" s="95"/>
      <c r="C67" s="98"/>
      <c r="D67" s="101"/>
      <c r="E67" s="15" t="s">
        <v>19</v>
      </c>
      <c r="F67" s="44">
        <v>206</v>
      </c>
      <c r="G67" s="5">
        <v>4408</v>
      </c>
      <c r="H67" s="41">
        <v>0</v>
      </c>
      <c r="I67" s="10" t="s">
        <v>7</v>
      </c>
    </row>
    <row r="68" spans="2:9" x14ac:dyDescent="0.25">
      <c r="B68" s="95"/>
      <c r="C68" s="98"/>
      <c r="D68" s="101"/>
      <c r="E68" s="15"/>
      <c r="F68" s="44"/>
      <c r="G68" s="5"/>
      <c r="H68" s="41"/>
      <c r="I68" s="10"/>
    </row>
    <row r="69" spans="2:9" x14ac:dyDescent="0.25">
      <c r="B69" s="96"/>
      <c r="C69" s="99"/>
      <c r="D69" s="102"/>
      <c r="E69" s="17"/>
      <c r="F69" s="45"/>
      <c r="G69" s="27"/>
      <c r="H69" s="42"/>
      <c r="I69" s="11"/>
    </row>
    <row r="70" spans="2:9" x14ac:dyDescent="0.25">
      <c r="B70" s="94" t="s">
        <v>15</v>
      </c>
      <c r="C70" s="97">
        <v>43749</v>
      </c>
      <c r="D70" s="100">
        <v>4</v>
      </c>
      <c r="E70" s="15" t="s">
        <v>21</v>
      </c>
      <c r="F70" s="44">
        <v>306</v>
      </c>
      <c r="G70" s="5">
        <v>4404</v>
      </c>
      <c r="H70" s="41">
        <f>SUM(I72)</f>
        <v>0</v>
      </c>
      <c r="I70" s="10" t="s">
        <v>7</v>
      </c>
    </row>
    <row r="71" spans="2:9" x14ac:dyDescent="0.25">
      <c r="B71" s="95"/>
      <c r="C71" s="98"/>
      <c r="D71" s="101"/>
      <c r="E71" s="15" t="s">
        <v>19</v>
      </c>
      <c r="F71" s="44">
        <v>310</v>
      </c>
      <c r="G71" s="5">
        <v>4415</v>
      </c>
      <c r="H71" s="41">
        <v>0</v>
      </c>
      <c r="I71" s="10" t="s">
        <v>7</v>
      </c>
    </row>
    <row r="72" spans="2:9" x14ac:dyDescent="0.25">
      <c r="B72" s="95"/>
      <c r="C72" s="98"/>
      <c r="D72" s="101"/>
      <c r="E72" s="15" t="s">
        <v>25</v>
      </c>
      <c r="F72" s="44">
        <v>293</v>
      </c>
      <c r="G72" s="5">
        <v>4362</v>
      </c>
      <c r="H72" s="41">
        <v>0</v>
      </c>
      <c r="I72" s="10" t="s">
        <v>7</v>
      </c>
    </row>
    <row r="73" spans="2:9" x14ac:dyDescent="0.25">
      <c r="B73" s="95"/>
      <c r="C73" s="98"/>
      <c r="D73" s="101"/>
      <c r="E73" s="15" t="s">
        <v>20</v>
      </c>
      <c r="F73" s="44">
        <v>301</v>
      </c>
      <c r="G73" s="5">
        <v>4361</v>
      </c>
      <c r="H73" s="41">
        <v>0</v>
      </c>
      <c r="I73" s="10" t="s">
        <v>7</v>
      </c>
    </row>
    <row r="74" spans="2:9" x14ac:dyDescent="0.25">
      <c r="B74" s="95"/>
      <c r="C74" s="98"/>
      <c r="D74" s="101"/>
      <c r="E74" s="15"/>
      <c r="F74" s="44"/>
      <c r="G74" s="5"/>
      <c r="H74" s="41"/>
      <c r="I74" s="10"/>
    </row>
    <row r="75" spans="2:9" x14ac:dyDescent="0.25">
      <c r="B75" s="96"/>
      <c r="C75" s="99"/>
      <c r="D75" s="102"/>
      <c r="E75" s="15"/>
      <c r="F75" s="44"/>
      <c r="G75" s="5"/>
      <c r="H75" s="41"/>
      <c r="I75" s="10"/>
    </row>
    <row r="76" spans="2:9" x14ac:dyDescent="0.25">
      <c r="B76" s="94" t="s">
        <v>16</v>
      </c>
      <c r="C76" s="97">
        <v>43750</v>
      </c>
      <c r="D76" s="100">
        <v>2</v>
      </c>
      <c r="E76" s="16" t="s">
        <v>20</v>
      </c>
      <c r="F76" s="43">
        <v>191</v>
      </c>
      <c r="G76" s="26">
        <v>4418</v>
      </c>
      <c r="H76" s="40">
        <f>SUM(I78)</f>
        <v>0</v>
      </c>
      <c r="I76" s="19" t="s">
        <v>7</v>
      </c>
    </row>
    <row r="77" spans="2:9" x14ac:dyDescent="0.25">
      <c r="B77" s="95"/>
      <c r="C77" s="98"/>
      <c r="D77" s="101"/>
      <c r="E77" s="15" t="s">
        <v>25</v>
      </c>
      <c r="F77" s="44">
        <v>313</v>
      </c>
      <c r="G77" s="5">
        <v>4406</v>
      </c>
      <c r="H77" s="41">
        <v>1</v>
      </c>
      <c r="I77" s="10">
        <v>4</v>
      </c>
    </row>
    <row r="78" spans="2:9" x14ac:dyDescent="0.25">
      <c r="B78" s="95"/>
      <c r="C78" s="98"/>
      <c r="D78" s="101"/>
      <c r="E78" s="15"/>
      <c r="F78" s="44"/>
      <c r="G78" s="5"/>
      <c r="H78" s="41"/>
      <c r="I78" s="10"/>
    </row>
    <row r="79" spans="2:9" x14ac:dyDescent="0.25">
      <c r="B79" s="95"/>
      <c r="C79" s="98"/>
      <c r="D79" s="101"/>
      <c r="E79" s="15"/>
      <c r="F79" s="44"/>
      <c r="G79" s="5"/>
      <c r="H79" s="41"/>
      <c r="I79" s="10"/>
    </row>
    <row r="80" spans="2:9" x14ac:dyDescent="0.25">
      <c r="B80" s="95"/>
      <c r="C80" s="98"/>
      <c r="D80" s="101"/>
      <c r="E80" s="15"/>
      <c r="F80" s="44"/>
      <c r="G80" s="5"/>
      <c r="H80" s="41"/>
      <c r="I80" s="10"/>
    </row>
    <row r="81" spans="2:9" x14ac:dyDescent="0.25">
      <c r="B81" s="96"/>
      <c r="C81" s="99"/>
      <c r="D81" s="102"/>
      <c r="E81" s="17"/>
      <c r="F81" s="45"/>
      <c r="G81" s="27"/>
      <c r="H81" s="42"/>
      <c r="I81" s="11"/>
    </row>
    <row r="82" spans="2:9" ht="15.75" thickBot="1" x14ac:dyDescent="0.3">
      <c r="B82" s="92" t="s">
        <v>35</v>
      </c>
      <c r="C82" s="93"/>
      <c r="D82" s="93"/>
      <c r="E82" s="93"/>
      <c r="F82" s="93"/>
      <c r="G82" s="93"/>
      <c r="H82" s="93"/>
      <c r="I82" s="93"/>
    </row>
    <row r="83" spans="2:9" ht="18.75" x14ac:dyDescent="0.25">
      <c r="B83" s="25" t="s">
        <v>34</v>
      </c>
      <c r="C83" s="21" t="s">
        <v>0</v>
      </c>
      <c r="D83" s="22" t="s">
        <v>4</v>
      </c>
      <c r="E83" s="21" t="s">
        <v>18</v>
      </c>
      <c r="F83" s="22" t="s">
        <v>28</v>
      </c>
      <c r="G83" s="21" t="s">
        <v>1</v>
      </c>
      <c r="H83" s="22" t="s">
        <v>2</v>
      </c>
      <c r="I83" s="23" t="s">
        <v>3</v>
      </c>
    </row>
    <row r="84" spans="2:9" x14ac:dyDescent="0.25">
      <c r="B84" s="94" t="s">
        <v>17</v>
      </c>
      <c r="C84" s="97">
        <v>43752</v>
      </c>
      <c r="D84" s="106">
        <v>4</v>
      </c>
      <c r="E84" s="6" t="s">
        <v>21</v>
      </c>
      <c r="F84" s="6">
        <v>234</v>
      </c>
      <c r="G84" s="7">
        <v>4246</v>
      </c>
      <c r="H84" s="7">
        <f>SUM(I86)</f>
        <v>0</v>
      </c>
      <c r="I84" s="19" t="s">
        <v>7</v>
      </c>
    </row>
    <row r="85" spans="2:9" x14ac:dyDescent="0.25">
      <c r="B85" s="95"/>
      <c r="C85" s="98"/>
      <c r="D85" s="106"/>
      <c r="E85" s="6" t="s">
        <v>25</v>
      </c>
      <c r="F85" s="6">
        <v>293</v>
      </c>
      <c r="G85" s="8">
        <v>4359</v>
      </c>
      <c r="H85" s="8">
        <v>0</v>
      </c>
      <c r="I85" s="10" t="s">
        <v>7</v>
      </c>
    </row>
    <row r="86" spans="2:9" x14ac:dyDescent="0.25">
      <c r="B86" s="95"/>
      <c r="C86" s="98"/>
      <c r="D86" s="106"/>
      <c r="E86" s="6" t="s">
        <v>20</v>
      </c>
      <c r="F86" s="6">
        <v>191</v>
      </c>
      <c r="G86" s="8">
        <v>4418</v>
      </c>
      <c r="H86" s="8">
        <v>0</v>
      </c>
      <c r="I86" s="10" t="s">
        <v>7</v>
      </c>
    </row>
    <row r="87" spans="2:9" x14ac:dyDescent="0.25">
      <c r="B87" s="95"/>
      <c r="C87" s="98"/>
      <c r="D87" s="106"/>
      <c r="E87" s="6" t="s">
        <v>21</v>
      </c>
      <c r="F87" s="6">
        <v>187</v>
      </c>
      <c r="G87" s="8">
        <v>4266</v>
      </c>
      <c r="H87" s="8">
        <v>0</v>
      </c>
      <c r="I87" s="10" t="s">
        <v>7</v>
      </c>
    </row>
    <row r="88" spans="2:9" x14ac:dyDescent="0.25">
      <c r="B88" s="95"/>
      <c r="C88" s="98"/>
      <c r="D88" s="106"/>
      <c r="E88" s="6"/>
      <c r="F88" s="6"/>
      <c r="G88" s="8"/>
      <c r="H88" s="8"/>
      <c r="I88" s="10"/>
    </row>
    <row r="89" spans="2:9" x14ac:dyDescent="0.25">
      <c r="B89" s="96"/>
      <c r="C89" s="99"/>
      <c r="D89" s="106"/>
      <c r="E89" s="6"/>
      <c r="F89" s="6"/>
      <c r="G89" s="9"/>
      <c r="H89" s="9"/>
      <c r="I89" s="11"/>
    </row>
    <row r="90" spans="2:9" x14ac:dyDescent="0.25">
      <c r="B90" s="94" t="s">
        <v>12</v>
      </c>
      <c r="C90" s="97">
        <v>43753</v>
      </c>
      <c r="D90" s="112">
        <v>3</v>
      </c>
      <c r="E90" s="43" t="s">
        <v>20</v>
      </c>
      <c r="F90" s="46">
        <v>242</v>
      </c>
      <c r="G90" s="40">
        <v>4347</v>
      </c>
      <c r="H90" s="7">
        <f>SUM(I92)</f>
        <v>0</v>
      </c>
      <c r="I90" s="10" t="s">
        <v>7</v>
      </c>
    </row>
    <row r="91" spans="2:9" x14ac:dyDescent="0.25">
      <c r="B91" s="95"/>
      <c r="C91" s="98"/>
      <c r="D91" s="106"/>
      <c r="E91" s="6" t="s">
        <v>19</v>
      </c>
      <c r="F91" s="3">
        <v>185</v>
      </c>
      <c r="G91" s="8">
        <v>4160</v>
      </c>
      <c r="H91" s="8">
        <v>0</v>
      </c>
      <c r="I91" s="10" t="s">
        <v>7</v>
      </c>
    </row>
    <row r="92" spans="2:9" x14ac:dyDescent="0.25">
      <c r="B92" s="95"/>
      <c r="C92" s="98"/>
      <c r="D92" s="106"/>
      <c r="E92" s="6" t="s">
        <v>21</v>
      </c>
      <c r="F92" s="3">
        <v>234</v>
      </c>
      <c r="G92" s="8">
        <v>4244</v>
      </c>
      <c r="H92" s="8">
        <v>0</v>
      </c>
      <c r="I92" s="10" t="s">
        <v>7</v>
      </c>
    </row>
    <row r="93" spans="2:9" x14ac:dyDescent="0.25">
      <c r="B93" s="95"/>
      <c r="C93" s="98"/>
      <c r="D93" s="106"/>
      <c r="E93" s="6"/>
      <c r="F93" s="3"/>
      <c r="G93" s="8"/>
      <c r="H93" s="8"/>
      <c r="I93" s="10"/>
    </row>
    <row r="94" spans="2:9" x14ac:dyDescent="0.25">
      <c r="B94" s="95"/>
      <c r="C94" s="98"/>
      <c r="D94" s="106"/>
      <c r="E94" s="6"/>
      <c r="F94" s="3"/>
      <c r="G94" s="8"/>
      <c r="H94" s="8"/>
      <c r="I94" s="10"/>
    </row>
    <row r="95" spans="2:9" x14ac:dyDescent="0.25">
      <c r="B95" s="96"/>
      <c r="C95" s="99"/>
      <c r="D95" s="106"/>
      <c r="E95" s="6"/>
      <c r="F95" s="4"/>
      <c r="G95" s="9"/>
      <c r="H95" s="9"/>
      <c r="I95" s="10"/>
    </row>
    <row r="96" spans="2:9" x14ac:dyDescent="0.25">
      <c r="B96" s="94" t="s">
        <v>13</v>
      </c>
      <c r="C96" s="97">
        <v>43754</v>
      </c>
      <c r="D96" s="112">
        <v>3</v>
      </c>
      <c r="E96" s="2" t="s">
        <v>20</v>
      </c>
      <c r="F96" s="2">
        <v>255</v>
      </c>
      <c r="G96" s="7">
        <v>4340</v>
      </c>
      <c r="H96" s="7">
        <f>SUM(I98)</f>
        <v>0</v>
      </c>
      <c r="I96" s="19" t="s">
        <v>7</v>
      </c>
    </row>
    <row r="97" spans="2:9" x14ac:dyDescent="0.25">
      <c r="B97" s="95"/>
      <c r="C97" s="98"/>
      <c r="D97" s="106"/>
      <c r="E97" s="47" t="s">
        <v>20</v>
      </c>
      <c r="F97" s="47">
        <v>301</v>
      </c>
      <c r="G97" s="41">
        <v>4361</v>
      </c>
      <c r="H97" s="8">
        <v>0</v>
      </c>
      <c r="I97" s="10" t="s">
        <v>7</v>
      </c>
    </row>
    <row r="98" spans="2:9" x14ac:dyDescent="0.25">
      <c r="B98" s="95"/>
      <c r="C98" s="98"/>
      <c r="D98" s="106"/>
      <c r="E98" s="3" t="s">
        <v>27</v>
      </c>
      <c r="F98" s="3">
        <v>190</v>
      </c>
      <c r="G98" s="8">
        <v>4000</v>
      </c>
      <c r="H98" s="8">
        <v>0</v>
      </c>
      <c r="I98" s="10" t="s">
        <v>7</v>
      </c>
    </row>
    <row r="99" spans="2:9" x14ac:dyDescent="0.25">
      <c r="B99" s="95"/>
      <c r="C99" s="98"/>
      <c r="D99" s="106"/>
      <c r="E99" s="3"/>
      <c r="F99" s="3"/>
      <c r="G99" s="8"/>
      <c r="H99" s="8"/>
      <c r="I99" s="10"/>
    </row>
    <row r="100" spans="2:9" x14ac:dyDescent="0.25">
      <c r="B100" s="95"/>
      <c r="C100" s="98"/>
      <c r="D100" s="106"/>
      <c r="E100" s="3"/>
      <c r="F100" s="3"/>
      <c r="G100" s="8"/>
      <c r="H100" s="8"/>
      <c r="I100" s="10"/>
    </row>
    <row r="101" spans="2:9" x14ac:dyDescent="0.25">
      <c r="B101" s="96"/>
      <c r="C101" s="99"/>
      <c r="D101" s="106"/>
      <c r="E101" s="4"/>
      <c r="F101" s="4"/>
      <c r="G101" s="9"/>
      <c r="H101" s="9"/>
      <c r="I101" s="11"/>
    </row>
    <row r="102" spans="2:9" x14ac:dyDescent="0.25">
      <c r="B102" s="94" t="s">
        <v>14</v>
      </c>
      <c r="C102" s="97">
        <v>43755</v>
      </c>
      <c r="D102" s="112">
        <v>2</v>
      </c>
      <c r="E102" s="6" t="s">
        <v>21</v>
      </c>
      <c r="F102" s="6">
        <v>319</v>
      </c>
      <c r="G102" s="7">
        <v>4419</v>
      </c>
      <c r="H102" s="7">
        <f>SUM(I104)</f>
        <v>0</v>
      </c>
      <c r="I102" s="10" t="s">
        <v>7</v>
      </c>
    </row>
    <row r="103" spans="2:9" x14ac:dyDescent="0.25">
      <c r="B103" s="95"/>
      <c r="C103" s="98"/>
      <c r="D103" s="106"/>
      <c r="E103" s="6" t="s">
        <v>24</v>
      </c>
      <c r="F103" s="6">
        <v>322</v>
      </c>
      <c r="G103" s="8">
        <v>4427</v>
      </c>
      <c r="H103" s="8">
        <v>1</v>
      </c>
      <c r="I103" s="10">
        <v>4</v>
      </c>
    </row>
    <row r="104" spans="2:9" x14ac:dyDescent="0.25">
      <c r="B104" s="95"/>
      <c r="C104" s="98"/>
      <c r="D104" s="106"/>
      <c r="E104" s="6"/>
      <c r="F104" s="6"/>
      <c r="G104" s="8"/>
      <c r="H104" s="8"/>
      <c r="I104" s="10"/>
    </row>
    <row r="105" spans="2:9" x14ac:dyDescent="0.25">
      <c r="B105" s="95"/>
      <c r="C105" s="98"/>
      <c r="D105" s="106"/>
      <c r="E105" s="6"/>
      <c r="F105" s="6"/>
      <c r="G105" s="8"/>
      <c r="H105" s="8"/>
      <c r="I105" s="10"/>
    </row>
    <row r="106" spans="2:9" x14ac:dyDescent="0.25">
      <c r="B106" s="95"/>
      <c r="C106" s="98"/>
      <c r="D106" s="106"/>
      <c r="E106" s="6"/>
      <c r="F106" s="6"/>
      <c r="G106" s="8"/>
      <c r="H106" s="8"/>
      <c r="I106" s="10"/>
    </row>
    <row r="107" spans="2:9" x14ac:dyDescent="0.25">
      <c r="B107" s="96"/>
      <c r="C107" s="99"/>
      <c r="D107" s="106"/>
      <c r="E107" s="6"/>
      <c r="F107" s="6"/>
      <c r="G107" s="8"/>
      <c r="H107" s="8"/>
      <c r="I107" s="10"/>
    </row>
    <row r="108" spans="2:9" x14ac:dyDescent="0.25">
      <c r="B108" s="94" t="s">
        <v>15</v>
      </c>
      <c r="C108" s="97">
        <v>43756</v>
      </c>
      <c r="D108" s="112">
        <v>3</v>
      </c>
      <c r="E108" s="12" t="s">
        <v>21</v>
      </c>
      <c r="F108" s="12">
        <v>299</v>
      </c>
      <c r="G108" s="7">
        <v>4405</v>
      </c>
      <c r="H108" s="7">
        <f>SUM(I110)</f>
        <v>0</v>
      </c>
      <c r="I108" s="19" t="s">
        <v>7</v>
      </c>
    </row>
    <row r="109" spans="2:9" x14ac:dyDescent="0.25">
      <c r="B109" s="95"/>
      <c r="C109" s="98"/>
      <c r="D109" s="106"/>
      <c r="E109" s="6" t="s">
        <v>19</v>
      </c>
      <c r="F109" s="6">
        <v>323</v>
      </c>
      <c r="G109" s="8">
        <v>4424</v>
      </c>
      <c r="H109" s="8">
        <v>0</v>
      </c>
      <c r="I109" s="10" t="s">
        <v>7</v>
      </c>
    </row>
    <row r="110" spans="2:9" x14ac:dyDescent="0.25">
      <c r="B110" s="95"/>
      <c r="C110" s="98"/>
      <c r="D110" s="106"/>
      <c r="E110" s="6" t="s">
        <v>26</v>
      </c>
      <c r="F110" s="6">
        <v>72</v>
      </c>
      <c r="G110" s="8">
        <v>4320</v>
      </c>
      <c r="H110" s="8">
        <v>0</v>
      </c>
      <c r="I110" s="10" t="s">
        <v>7</v>
      </c>
    </row>
    <row r="111" spans="2:9" x14ac:dyDescent="0.25">
      <c r="B111" s="95"/>
      <c r="C111" s="98"/>
      <c r="D111" s="106"/>
      <c r="E111" s="6"/>
      <c r="F111" s="6"/>
      <c r="G111" s="8"/>
      <c r="H111" s="8"/>
      <c r="I111" s="10"/>
    </row>
    <row r="112" spans="2:9" x14ac:dyDescent="0.25">
      <c r="B112" s="95"/>
      <c r="C112" s="98"/>
      <c r="D112" s="106"/>
      <c r="E112" s="6"/>
      <c r="F112" s="6"/>
      <c r="G112" s="8"/>
      <c r="H112" s="8"/>
      <c r="I112" s="10"/>
    </row>
    <row r="113" spans="2:9" x14ac:dyDescent="0.25">
      <c r="B113" s="96"/>
      <c r="C113" s="99"/>
      <c r="D113" s="113"/>
      <c r="E113" s="13"/>
      <c r="F113" s="13"/>
      <c r="G113" s="9"/>
      <c r="H113" s="9"/>
      <c r="I113" s="11"/>
    </row>
    <row r="114" spans="2:9" x14ac:dyDescent="0.25">
      <c r="B114" s="94" t="s">
        <v>16</v>
      </c>
      <c r="C114" s="97">
        <v>43757</v>
      </c>
      <c r="D114" s="112">
        <v>3</v>
      </c>
      <c r="E114" s="12" t="s">
        <v>29</v>
      </c>
      <c r="F114" s="12">
        <v>311</v>
      </c>
      <c r="G114" s="7">
        <v>4153</v>
      </c>
      <c r="H114" s="7">
        <f>SUM(I116)</f>
        <v>1</v>
      </c>
      <c r="I114" s="19">
        <v>4</v>
      </c>
    </row>
    <row r="115" spans="2:9" x14ac:dyDescent="0.25">
      <c r="B115" s="95"/>
      <c r="C115" s="98"/>
      <c r="D115" s="106"/>
      <c r="E115" s="6" t="s">
        <v>29</v>
      </c>
      <c r="F115" s="6">
        <v>311</v>
      </c>
      <c r="G115" s="8">
        <v>4123</v>
      </c>
      <c r="H115" s="8">
        <v>0</v>
      </c>
      <c r="I115" s="10" t="s">
        <v>7</v>
      </c>
    </row>
    <row r="116" spans="2:9" x14ac:dyDescent="0.25">
      <c r="B116" s="95"/>
      <c r="C116" s="98"/>
      <c r="D116" s="106"/>
      <c r="E116" s="6" t="s">
        <v>20</v>
      </c>
      <c r="F116" s="6">
        <v>312</v>
      </c>
      <c r="G116" s="8">
        <v>4400</v>
      </c>
      <c r="H116" s="8">
        <v>1</v>
      </c>
      <c r="I116" s="10">
        <v>1</v>
      </c>
    </row>
    <row r="117" spans="2:9" x14ac:dyDescent="0.25">
      <c r="B117" s="95"/>
      <c r="C117" s="98"/>
      <c r="D117" s="106"/>
      <c r="E117" s="6"/>
      <c r="F117" s="6"/>
      <c r="G117" s="8"/>
      <c r="H117" s="8"/>
      <c r="I117" s="10"/>
    </row>
    <row r="118" spans="2:9" x14ac:dyDescent="0.25">
      <c r="B118" s="95"/>
      <c r="C118" s="98"/>
      <c r="D118" s="106"/>
      <c r="E118" s="6"/>
      <c r="F118" s="6"/>
      <c r="G118" s="8"/>
      <c r="H118" s="8"/>
      <c r="I118" s="10"/>
    </row>
    <row r="119" spans="2:9" x14ac:dyDescent="0.25">
      <c r="B119" s="96"/>
      <c r="C119" s="99"/>
      <c r="D119" s="113"/>
      <c r="E119" s="13"/>
      <c r="F119" s="13"/>
      <c r="G119" s="9"/>
      <c r="H119" s="9"/>
      <c r="I119" s="11"/>
    </row>
    <row r="120" spans="2:9" ht="15.75" thickBot="1" x14ac:dyDescent="0.3">
      <c r="B120" s="92" t="s">
        <v>32</v>
      </c>
      <c r="C120" s="93"/>
      <c r="D120" s="93"/>
      <c r="E120" s="93"/>
      <c r="F120" s="93"/>
      <c r="G120" s="93"/>
      <c r="H120" s="93"/>
      <c r="I120" s="93"/>
    </row>
    <row r="121" spans="2:9" ht="18.75" x14ac:dyDescent="0.25">
      <c r="B121" s="25" t="s">
        <v>34</v>
      </c>
      <c r="C121" s="21" t="s">
        <v>0</v>
      </c>
      <c r="D121" s="22" t="s">
        <v>4</v>
      </c>
      <c r="E121" s="21" t="s">
        <v>18</v>
      </c>
      <c r="F121" s="22" t="s">
        <v>28</v>
      </c>
      <c r="G121" s="21" t="s">
        <v>1</v>
      </c>
      <c r="H121" s="22" t="s">
        <v>2</v>
      </c>
      <c r="I121" s="23" t="s">
        <v>3</v>
      </c>
    </row>
    <row r="122" spans="2:9" x14ac:dyDescent="0.25">
      <c r="B122" s="94" t="s">
        <v>17</v>
      </c>
      <c r="C122" s="97">
        <v>43759</v>
      </c>
      <c r="D122" s="106">
        <v>4</v>
      </c>
      <c r="E122" s="6" t="s">
        <v>19</v>
      </c>
      <c r="F122" s="6">
        <v>299</v>
      </c>
      <c r="G122" s="7">
        <v>4407</v>
      </c>
      <c r="H122" s="7">
        <f>SUM(I124)</f>
        <v>0</v>
      </c>
      <c r="I122" s="75" t="s">
        <v>7</v>
      </c>
    </row>
    <row r="123" spans="2:9" x14ac:dyDescent="0.25">
      <c r="B123" s="95"/>
      <c r="C123" s="98"/>
      <c r="D123" s="106"/>
      <c r="E123" s="6" t="s">
        <v>29</v>
      </c>
      <c r="F123" s="6">
        <v>311</v>
      </c>
      <c r="G123" s="8">
        <v>4145</v>
      </c>
      <c r="H123" s="8">
        <v>0</v>
      </c>
      <c r="I123" s="76" t="s">
        <v>7</v>
      </c>
    </row>
    <row r="124" spans="2:9" x14ac:dyDescent="0.25">
      <c r="B124" s="95"/>
      <c r="C124" s="98"/>
      <c r="D124" s="106"/>
      <c r="E124" s="6" t="s">
        <v>27</v>
      </c>
      <c r="F124" s="6">
        <v>305</v>
      </c>
      <c r="G124" s="8">
        <v>4413</v>
      </c>
      <c r="H124" s="8">
        <v>0</v>
      </c>
      <c r="I124" s="76" t="s">
        <v>7</v>
      </c>
    </row>
    <row r="125" spans="2:9" x14ac:dyDescent="0.25">
      <c r="B125" s="95"/>
      <c r="C125" s="98"/>
      <c r="D125" s="106"/>
      <c r="E125" s="6" t="s">
        <v>20</v>
      </c>
      <c r="F125" s="6">
        <v>312</v>
      </c>
      <c r="G125" s="8">
        <v>4400</v>
      </c>
      <c r="H125" s="8">
        <v>1</v>
      </c>
      <c r="I125" s="76">
        <v>2</v>
      </c>
    </row>
    <row r="126" spans="2:9" x14ac:dyDescent="0.25">
      <c r="B126" s="95"/>
      <c r="C126" s="98"/>
      <c r="D126" s="106"/>
      <c r="E126" s="6"/>
      <c r="F126" s="6"/>
      <c r="G126" s="8"/>
      <c r="H126" s="8"/>
      <c r="I126" s="76"/>
    </row>
    <row r="127" spans="2:9" x14ac:dyDescent="0.25">
      <c r="B127" s="96"/>
      <c r="C127" s="99"/>
      <c r="D127" s="106"/>
      <c r="E127" s="6"/>
      <c r="F127" s="6"/>
      <c r="G127" s="9"/>
      <c r="H127" s="9"/>
      <c r="I127" s="77"/>
    </row>
    <row r="128" spans="2:9" x14ac:dyDescent="0.25">
      <c r="B128" s="94" t="s">
        <v>12</v>
      </c>
      <c r="C128" s="97">
        <v>43760</v>
      </c>
      <c r="D128" s="112">
        <v>4</v>
      </c>
      <c r="E128" s="12" t="s">
        <v>29</v>
      </c>
      <c r="F128" s="2">
        <v>311</v>
      </c>
      <c r="G128" s="7">
        <v>4153</v>
      </c>
      <c r="H128" s="7">
        <f>SUM(I130)</f>
        <v>0</v>
      </c>
      <c r="I128" s="76" t="s">
        <v>7</v>
      </c>
    </row>
    <row r="129" spans="2:9" x14ac:dyDescent="0.25">
      <c r="B129" s="95"/>
      <c r="C129" s="98"/>
      <c r="D129" s="106"/>
      <c r="E129" s="6" t="s">
        <v>29</v>
      </c>
      <c r="F129" s="3">
        <v>311</v>
      </c>
      <c r="G129" s="8">
        <v>4123</v>
      </c>
      <c r="H129" s="8">
        <v>0</v>
      </c>
      <c r="I129" s="76" t="s">
        <v>7</v>
      </c>
    </row>
    <row r="130" spans="2:9" x14ac:dyDescent="0.25">
      <c r="B130" s="95"/>
      <c r="C130" s="98"/>
      <c r="D130" s="106"/>
      <c r="E130" s="6" t="s">
        <v>20</v>
      </c>
      <c r="F130" s="3">
        <v>312</v>
      </c>
      <c r="G130" s="8">
        <v>4400</v>
      </c>
      <c r="H130" s="8">
        <v>0</v>
      </c>
      <c r="I130" s="76" t="s">
        <v>7</v>
      </c>
    </row>
    <row r="131" spans="2:9" x14ac:dyDescent="0.25">
      <c r="B131" s="95"/>
      <c r="C131" s="98"/>
      <c r="D131" s="106"/>
      <c r="E131" s="6" t="s">
        <v>21</v>
      </c>
      <c r="F131" s="3">
        <v>314</v>
      </c>
      <c r="G131" s="8">
        <v>4412</v>
      </c>
      <c r="H131" s="8">
        <v>0</v>
      </c>
      <c r="I131" s="76" t="s">
        <v>7</v>
      </c>
    </row>
    <row r="132" spans="2:9" x14ac:dyDescent="0.25">
      <c r="B132" s="95"/>
      <c r="C132" s="98"/>
      <c r="D132" s="106"/>
      <c r="E132" s="6"/>
      <c r="F132" s="3"/>
      <c r="G132" s="8"/>
      <c r="H132" s="8"/>
      <c r="I132" s="76"/>
    </row>
    <row r="133" spans="2:9" x14ac:dyDescent="0.25">
      <c r="B133" s="96"/>
      <c r="C133" s="99"/>
      <c r="D133" s="106"/>
      <c r="E133" s="6"/>
      <c r="F133" s="4"/>
      <c r="G133" s="9"/>
      <c r="H133" s="9"/>
      <c r="I133" s="76"/>
    </row>
    <row r="134" spans="2:9" x14ac:dyDescent="0.25">
      <c r="B134" s="94" t="s">
        <v>13</v>
      </c>
      <c r="C134" s="97">
        <v>43761</v>
      </c>
      <c r="D134" s="112">
        <v>3</v>
      </c>
      <c r="E134" s="2" t="s">
        <v>29</v>
      </c>
      <c r="F134" s="2">
        <v>328</v>
      </c>
      <c r="G134" s="7">
        <v>3991</v>
      </c>
      <c r="H134" s="7">
        <f>SUM(I136)</f>
        <v>0</v>
      </c>
      <c r="I134" s="75" t="s">
        <v>7</v>
      </c>
    </row>
    <row r="135" spans="2:9" x14ac:dyDescent="0.25">
      <c r="B135" s="95"/>
      <c r="C135" s="98"/>
      <c r="D135" s="106"/>
      <c r="E135" s="3" t="s">
        <v>20</v>
      </c>
      <c r="F135" s="3">
        <v>327</v>
      </c>
      <c r="G135" s="8">
        <v>4437</v>
      </c>
      <c r="H135" s="8">
        <v>0</v>
      </c>
      <c r="I135" s="76" t="s">
        <v>7</v>
      </c>
    </row>
    <row r="136" spans="2:9" x14ac:dyDescent="0.25">
      <c r="B136" s="95"/>
      <c r="C136" s="98"/>
      <c r="D136" s="106"/>
      <c r="E136" s="3" t="s">
        <v>27</v>
      </c>
      <c r="F136" s="3">
        <v>329</v>
      </c>
      <c r="G136" s="8">
        <v>3943</v>
      </c>
      <c r="H136" s="8">
        <v>0</v>
      </c>
      <c r="I136" s="76" t="s">
        <v>7</v>
      </c>
    </row>
    <row r="137" spans="2:9" x14ac:dyDescent="0.25">
      <c r="B137" s="95"/>
      <c r="C137" s="98"/>
      <c r="D137" s="106"/>
      <c r="E137" s="3"/>
      <c r="F137" s="3"/>
      <c r="G137" s="8"/>
      <c r="H137" s="8"/>
      <c r="I137" s="76"/>
    </row>
    <row r="138" spans="2:9" x14ac:dyDescent="0.25">
      <c r="B138" s="95"/>
      <c r="C138" s="98"/>
      <c r="D138" s="106"/>
      <c r="E138" s="3"/>
      <c r="F138" s="3"/>
      <c r="G138" s="8"/>
      <c r="H138" s="8"/>
      <c r="I138" s="76"/>
    </row>
    <row r="139" spans="2:9" x14ac:dyDescent="0.25">
      <c r="B139" s="96"/>
      <c r="C139" s="99"/>
      <c r="D139" s="106"/>
      <c r="E139" s="4"/>
      <c r="F139" s="4"/>
      <c r="G139" s="9"/>
      <c r="H139" s="9"/>
      <c r="I139" s="77"/>
    </row>
    <row r="140" spans="2:9" x14ac:dyDescent="0.25">
      <c r="B140" s="94" t="s">
        <v>14</v>
      </c>
      <c r="C140" s="97">
        <v>43762</v>
      </c>
      <c r="D140" s="112">
        <v>4</v>
      </c>
      <c r="E140" s="6" t="s">
        <v>20</v>
      </c>
      <c r="F140" s="6">
        <v>195</v>
      </c>
      <c r="G140" s="7">
        <v>3813</v>
      </c>
      <c r="H140" s="7">
        <v>0</v>
      </c>
      <c r="I140" s="76" t="s">
        <v>7</v>
      </c>
    </row>
    <row r="141" spans="2:9" x14ac:dyDescent="0.25">
      <c r="B141" s="95"/>
      <c r="C141" s="98"/>
      <c r="D141" s="106"/>
      <c r="E141" s="6" t="s">
        <v>20</v>
      </c>
      <c r="F141" s="6">
        <v>327</v>
      </c>
      <c r="G141" s="8">
        <v>4438</v>
      </c>
      <c r="H141" s="8">
        <v>0</v>
      </c>
      <c r="I141" s="76" t="s">
        <v>7</v>
      </c>
    </row>
    <row r="142" spans="2:9" x14ac:dyDescent="0.25">
      <c r="B142" s="95"/>
      <c r="C142" s="98"/>
      <c r="D142" s="106"/>
      <c r="E142" s="6" t="s">
        <v>20</v>
      </c>
      <c r="F142" s="6">
        <v>327</v>
      </c>
      <c r="G142" s="8">
        <v>4434</v>
      </c>
      <c r="H142" s="8">
        <v>1</v>
      </c>
      <c r="I142" s="76">
        <v>2</v>
      </c>
    </row>
    <row r="143" spans="2:9" x14ac:dyDescent="0.25">
      <c r="B143" s="95"/>
      <c r="C143" s="98"/>
      <c r="D143" s="106"/>
      <c r="E143" s="6" t="s">
        <v>20</v>
      </c>
      <c r="F143" s="6">
        <v>190</v>
      </c>
      <c r="G143" s="8">
        <v>4375</v>
      </c>
      <c r="H143" s="8">
        <v>0</v>
      </c>
      <c r="I143" s="76" t="s">
        <v>7</v>
      </c>
    </row>
    <row r="144" spans="2:9" x14ac:dyDescent="0.25">
      <c r="B144" s="95"/>
      <c r="C144" s="98"/>
      <c r="D144" s="106"/>
      <c r="E144" s="6"/>
      <c r="F144" s="6"/>
      <c r="G144" s="8"/>
      <c r="H144" s="8"/>
      <c r="I144" s="76"/>
    </row>
    <row r="145" spans="2:9" x14ac:dyDescent="0.25">
      <c r="B145" s="96"/>
      <c r="C145" s="99"/>
      <c r="D145" s="106"/>
      <c r="E145" s="6"/>
      <c r="F145" s="6"/>
      <c r="G145" s="8"/>
      <c r="H145" s="8"/>
      <c r="I145" s="76"/>
    </row>
    <row r="146" spans="2:9" x14ac:dyDescent="0.25">
      <c r="B146" s="94" t="s">
        <v>15</v>
      </c>
      <c r="C146" s="97">
        <v>43763</v>
      </c>
      <c r="D146" s="112">
        <v>4</v>
      </c>
      <c r="E146" s="12" t="s">
        <v>20</v>
      </c>
      <c r="F146" s="12">
        <v>327</v>
      </c>
      <c r="G146" s="7">
        <v>4434</v>
      </c>
      <c r="H146" s="7">
        <f>SUM(I148)</f>
        <v>0</v>
      </c>
      <c r="I146" s="75" t="s">
        <v>7</v>
      </c>
    </row>
    <row r="147" spans="2:9" x14ac:dyDescent="0.25">
      <c r="B147" s="95"/>
      <c r="C147" s="98"/>
      <c r="D147" s="106"/>
      <c r="E147" s="6" t="s">
        <v>20</v>
      </c>
      <c r="F147" s="6">
        <v>318</v>
      </c>
      <c r="G147" s="8">
        <v>4443</v>
      </c>
      <c r="H147" s="8">
        <v>0</v>
      </c>
      <c r="I147" s="76" t="s">
        <v>7</v>
      </c>
    </row>
    <row r="148" spans="2:9" x14ac:dyDescent="0.25">
      <c r="B148" s="95"/>
      <c r="C148" s="98"/>
      <c r="D148" s="106"/>
      <c r="E148" s="6" t="s">
        <v>20</v>
      </c>
      <c r="F148" s="6">
        <v>327</v>
      </c>
      <c r="G148" s="8">
        <v>4435</v>
      </c>
      <c r="H148" s="8">
        <v>0</v>
      </c>
      <c r="I148" s="76" t="s">
        <v>7</v>
      </c>
    </row>
    <row r="149" spans="2:9" x14ac:dyDescent="0.25">
      <c r="B149" s="95"/>
      <c r="C149" s="98"/>
      <c r="D149" s="106"/>
      <c r="E149" s="6" t="s">
        <v>19</v>
      </c>
      <c r="F149" s="6">
        <v>198</v>
      </c>
      <c r="G149" s="8">
        <v>4228</v>
      </c>
      <c r="H149" s="8">
        <v>0</v>
      </c>
      <c r="I149" s="76" t="s">
        <v>7</v>
      </c>
    </row>
    <row r="150" spans="2:9" x14ac:dyDescent="0.25">
      <c r="B150" s="95"/>
      <c r="C150" s="98"/>
      <c r="D150" s="106"/>
      <c r="E150" s="6"/>
      <c r="F150" s="6"/>
      <c r="G150" s="8"/>
      <c r="H150" s="8"/>
      <c r="I150" s="76"/>
    </row>
    <row r="151" spans="2:9" x14ac:dyDescent="0.25">
      <c r="B151" s="96"/>
      <c r="C151" s="99"/>
      <c r="D151" s="113"/>
      <c r="E151" s="13"/>
      <c r="F151" s="13"/>
      <c r="G151" s="9"/>
      <c r="H151" s="9"/>
      <c r="I151" s="77"/>
    </row>
    <row r="152" spans="2:9" x14ac:dyDescent="0.25">
      <c r="B152" s="94" t="s">
        <v>16</v>
      </c>
      <c r="C152" s="97">
        <v>43764</v>
      </c>
      <c r="D152" s="112">
        <v>2</v>
      </c>
      <c r="E152" s="12" t="s">
        <v>20</v>
      </c>
      <c r="F152" s="12">
        <v>327</v>
      </c>
      <c r="G152" s="7">
        <v>4439</v>
      </c>
      <c r="H152" s="7">
        <f>SUM(I154)</f>
        <v>0</v>
      </c>
      <c r="I152" s="75" t="s">
        <v>7</v>
      </c>
    </row>
    <row r="153" spans="2:9" x14ac:dyDescent="0.25">
      <c r="B153" s="95"/>
      <c r="C153" s="98"/>
      <c r="D153" s="106"/>
      <c r="E153" s="6" t="s">
        <v>24</v>
      </c>
      <c r="F153" s="6">
        <v>137</v>
      </c>
      <c r="G153" s="8">
        <v>4427</v>
      </c>
      <c r="H153" s="8">
        <v>0</v>
      </c>
      <c r="I153" s="76" t="s">
        <v>7</v>
      </c>
    </row>
    <row r="154" spans="2:9" x14ac:dyDescent="0.25">
      <c r="B154" s="95"/>
      <c r="C154" s="98"/>
      <c r="D154" s="106"/>
      <c r="E154" s="6"/>
      <c r="F154" s="6"/>
      <c r="G154" s="8"/>
      <c r="H154" s="8"/>
      <c r="I154" s="76"/>
    </row>
    <row r="155" spans="2:9" x14ac:dyDescent="0.25">
      <c r="B155" s="95"/>
      <c r="C155" s="98"/>
      <c r="D155" s="106"/>
      <c r="E155" s="6"/>
      <c r="F155" s="6"/>
      <c r="G155" s="8"/>
      <c r="H155" s="8"/>
      <c r="I155" s="76"/>
    </row>
    <row r="156" spans="2:9" x14ac:dyDescent="0.25">
      <c r="B156" s="95"/>
      <c r="C156" s="98"/>
      <c r="D156" s="106"/>
      <c r="E156" s="6"/>
      <c r="F156" s="6"/>
      <c r="G156" s="8"/>
      <c r="H156" s="8"/>
      <c r="I156" s="76"/>
    </row>
    <row r="157" spans="2:9" x14ac:dyDescent="0.25">
      <c r="B157" s="96"/>
      <c r="C157" s="99"/>
      <c r="D157" s="113"/>
      <c r="E157" s="13"/>
      <c r="F157" s="13"/>
      <c r="G157" s="9"/>
      <c r="H157" s="9"/>
      <c r="I157" s="77"/>
    </row>
  </sheetData>
  <autoFilter ref="B7:I37" xr:uid="{59B7EC65-D1CA-4C96-A0BB-46C64F34E160}"/>
  <mergeCells count="77">
    <mergeCell ref="D128:D133"/>
    <mergeCell ref="D134:D139"/>
    <mergeCell ref="B26:B31"/>
    <mergeCell ref="D152:D157"/>
    <mergeCell ref="D84:D89"/>
    <mergeCell ref="D90:D95"/>
    <mergeCell ref="D96:D101"/>
    <mergeCell ref="D102:D107"/>
    <mergeCell ref="D108:D113"/>
    <mergeCell ref="D114:D119"/>
    <mergeCell ref="D140:D145"/>
    <mergeCell ref="D146:D151"/>
    <mergeCell ref="C90:C95"/>
    <mergeCell ref="C96:C101"/>
    <mergeCell ref="C102:C107"/>
    <mergeCell ref="C108:C113"/>
    <mergeCell ref="C114:C119"/>
    <mergeCell ref="C122:C127"/>
    <mergeCell ref="B6:I6"/>
    <mergeCell ref="B2:I4"/>
    <mergeCell ref="B8:B13"/>
    <mergeCell ref="B14:B19"/>
    <mergeCell ref="B20:B25"/>
    <mergeCell ref="D58:D63"/>
    <mergeCell ref="D64:D69"/>
    <mergeCell ref="D8:D13"/>
    <mergeCell ref="D14:D19"/>
    <mergeCell ref="D20:D25"/>
    <mergeCell ref="D26:D31"/>
    <mergeCell ref="C38:C43"/>
    <mergeCell ref="D38:D43"/>
    <mergeCell ref="C46:C51"/>
    <mergeCell ref="C8:C13"/>
    <mergeCell ref="C14:C19"/>
    <mergeCell ref="C20:C25"/>
    <mergeCell ref="C26:C31"/>
    <mergeCell ref="C32:C37"/>
    <mergeCell ref="B152:B157"/>
    <mergeCell ref="B128:B133"/>
    <mergeCell ref="B134:B139"/>
    <mergeCell ref="B140:B145"/>
    <mergeCell ref="C146:C151"/>
    <mergeCell ref="C152:C157"/>
    <mergeCell ref="C128:C133"/>
    <mergeCell ref="C134:C139"/>
    <mergeCell ref="B32:B37"/>
    <mergeCell ref="B44:I44"/>
    <mergeCell ref="D32:D37"/>
    <mergeCell ref="C140:C145"/>
    <mergeCell ref="B146:B151"/>
    <mergeCell ref="B120:I120"/>
    <mergeCell ref="B114:B119"/>
    <mergeCell ref="B122:B127"/>
    <mergeCell ref="B84:B89"/>
    <mergeCell ref="B90:B95"/>
    <mergeCell ref="D122:D127"/>
    <mergeCell ref="B108:B113"/>
    <mergeCell ref="C84:C89"/>
    <mergeCell ref="B96:B101"/>
    <mergeCell ref="B102:B107"/>
    <mergeCell ref="C52:C57"/>
    <mergeCell ref="B82:I82"/>
    <mergeCell ref="B38:B43"/>
    <mergeCell ref="B46:B51"/>
    <mergeCell ref="C58:C63"/>
    <mergeCell ref="C64:C69"/>
    <mergeCell ref="C70:C75"/>
    <mergeCell ref="B58:B63"/>
    <mergeCell ref="B64:B69"/>
    <mergeCell ref="D76:D81"/>
    <mergeCell ref="C76:C81"/>
    <mergeCell ref="D70:D75"/>
    <mergeCell ref="B52:B57"/>
    <mergeCell ref="B70:B75"/>
    <mergeCell ref="B76:B81"/>
    <mergeCell ref="D46:D51"/>
    <mergeCell ref="D52:D57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5795-507B-40AF-B761-856537523116}">
  <sheetPr codeName="Sheet2"/>
  <dimension ref="A2:V150"/>
  <sheetViews>
    <sheetView tabSelected="1" zoomScale="70" zoomScaleNormal="70" workbookViewId="0">
      <selection activeCell="C2" sqref="C2:K2"/>
    </sheetView>
  </sheetViews>
  <sheetFormatPr defaultRowHeight="15" x14ac:dyDescent="0.25"/>
  <cols>
    <col min="1" max="1" width="20.42578125" customWidth="1"/>
    <col min="2" max="2" width="15.42578125" customWidth="1"/>
    <col min="3" max="3" width="16.7109375" customWidth="1"/>
    <col min="4" max="4" width="17" customWidth="1"/>
    <col min="5" max="5" width="18.28515625" customWidth="1"/>
    <col min="6" max="6" width="16.28515625" customWidth="1"/>
    <col min="7" max="7" width="13.28515625" customWidth="1"/>
    <col min="8" max="8" width="17.5703125" customWidth="1"/>
    <col min="9" max="9" width="12.5703125" customWidth="1"/>
    <col min="10" max="10" width="27.42578125" customWidth="1"/>
    <col min="11" max="11" width="17.5703125" customWidth="1"/>
    <col min="12" max="12" width="20.5703125" customWidth="1"/>
    <col min="14" max="14" width="45.85546875" customWidth="1"/>
    <col min="15" max="15" width="13.28515625" customWidth="1"/>
    <col min="16" max="16" width="13.85546875" customWidth="1"/>
    <col min="17" max="17" width="13.5703125" customWidth="1"/>
    <col min="18" max="18" width="18.140625" customWidth="1"/>
    <col min="19" max="19" width="14.85546875" customWidth="1"/>
  </cols>
  <sheetData>
    <row r="2" spans="1:16" ht="21" customHeight="1" x14ac:dyDescent="0.25">
      <c r="C2" s="131" t="s">
        <v>50</v>
      </c>
      <c r="D2" s="131"/>
      <c r="E2" s="131"/>
      <c r="F2" s="131"/>
      <c r="G2" s="131"/>
      <c r="H2" s="131"/>
      <c r="I2" s="131"/>
      <c r="J2" s="131"/>
      <c r="K2" s="131"/>
    </row>
    <row r="3" spans="1:16" ht="15.75" customHeight="1" x14ac:dyDescent="0.25">
      <c r="C3" s="132" t="s">
        <v>45</v>
      </c>
      <c r="D3" s="132"/>
      <c r="E3" s="132"/>
      <c r="F3" s="132"/>
      <c r="G3" s="132"/>
      <c r="H3" s="132"/>
      <c r="I3" s="132"/>
      <c r="J3" s="132"/>
      <c r="K3" s="132"/>
    </row>
    <row r="4" spans="1:16" ht="15.75" thickBot="1" x14ac:dyDescent="0.3">
      <c r="P4" s="36"/>
    </row>
    <row r="5" spans="1:16" ht="15" customHeight="1" x14ac:dyDescent="0.25">
      <c r="A5" s="119" t="s">
        <v>33</v>
      </c>
      <c r="B5" s="119" t="s">
        <v>34</v>
      </c>
      <c r="C5" s="119" t="s">
        <v>0</v>
      </c>
      <c r="D5" s="119" t="s">
        <v>4</v>
      </c>
      <c r="E5" s="119" t="s">
        <v>18</v>
      </c>
      <c r="F5" s="119" t="s">
        <v>9</v>
      </c>
      <c r="G5" s="119" t="s">
        <v>28</v>
      </c>
      <c r="H5" s="119" t="s">
        <v>1</v>
      </c>
      <c r="I5" s="119" t="s">
        <v>2</v>
      </c>
      <c r="J5" s="119" t="s">
        <v>3</v>
      </c>
      <c r="K5" s="119" t="s">
        <v>8</v>
      </c>
      <c r="L5" s="119" t="s">
        <v>6</v>
      </c>
      <c r="P5" s="36"/>
    </row>
    <row r="6" spans="1:16" ht="18.75" customHeight="1" thickBot="1" x14ac:dyDescent="0.3">
      <c r="A6" s="120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P6" s="36"/>
    </row>
    <row r="7" spans="1:16" x14ac:dyDescent="0.25">
      <c r="A7" s="122" t="s">
        <v>30</v>
      </c>
      <c r="B7" s="125" t="str">
        <f>'Input Data'!B8</f>
        <v>Selasa</v>
      </c>
      <c r="C7" s="127">
        <f>'Input Data'!C8</f>
        <v>43739</v>
      </c>
      <c r="D7" s="128">
        <f>'Input Data'!D8</f>
        <v>4</v>
      </c>
      <c r="E7" s="81" t="str">
        <f>'Input Data'!E8</f>
        <v>SD</v>
      </c>
      <c r="F7" s="81">
        <f>IFERROR(VLOOKUP(E7,'Input Data'!$K$15:$L$24,2,0),"")</f>
        <v>1</v>
      </c>
      <c r="G7" s="81">
        <f>'Input Data'!F8</f>
        <v>181</v>
      </c>
      <c r="H7" s="82">
        <f>'Input Data'!G8</f>
        <v>4329</v>
      </c>
      <c r="I7" s="82">
        <f>'Input Data'!H8</f>
        <v>0</v>
      </c>
      <c r="J7" s="83" t="str">
        <f>'Input Data'!I8</f>
        <v>-</v>
      </c>
      <c r="K7" s="128">
        <f>SUM(I7:I12)</f>
        <v>0</v>
      </c>
      <c r="L7" s="121" t="str">
        <f>IF(K7&lt;=0,"Tercapai","Tidak Tercapai")</f>
        <v>Tercapai</v>
      </c>
      <c r="P7" s="36"/>
    </row>
    <row r="8" spans="1:16" x14ac:dyDescent="0.25">
      <c r="A8" s="123" t="str">
        <f>A7</f>
        <v>Minggu ke-1</v>
      </c>
      <c r="B8" s="115" t="str">
        <f>B7</f>
        <v>Selasa</v>
      </c>
      <c r="C8" s="116">
        <f>C7</f>
        <v>43739</v>
      </c>
      <c r="D8" s="117">
        <f>D7</f>
        <v>4</v>
      </c>
      <c r="E8" s="49" t="str">
        <f>'Input Data'!E9</f>
        <v>AJ</v>
      </c>
      <c r="F8" s="49">
        <f>IFERROR(VLOOKUP(E8,'Input Data'!$K$15:$L$24,2,0),"")</f>
        <v>2</v>
      </c>
      <c r="G8" s="49">
        <f>'Input Data'!F9</f>
        <v>257</v>
      </c>
      <c r="H8" s="50">
        <f>'Input Data'!G9</f>
        <v>4388</v>
      </c>
      <c r="I8" s="50">
        <f>'Input Data'!H9</f>
        <v>0</v>
      </c>
      <c r="J8" s="39" t="str">
        <f>'Input Data'!I9</f>
        <v>-</v>
      </c>
      <c r="K8" s="117">
        <f>K7</f>
        <v>0</v>
      </c>
      <c r="L8" s="114" t="str">
        <f>L7</f>
        <v>Tercapai</v>
      </c>
      <c r="P8" s="36"/>
    </row>
    <row r="9" spans="1:16" ht="15.75" customHeight="1" x14ac:dyDescent="0.25">
      <c r="A9" s="123" t="str">
        <f t="shared" ref="A9:D42" si="0">A8</f>
        <v>Minggu ke-1</v>
      </c>
      <c r="B9" s="115" t="str">
        <f t="shared" si="0"/>
        <v>Selasa</v>
      </c>
      <c r="C9" s="116">
        <f t="shared" si="0"/>
        <v>43739</v>
      </c>
      <c r="D9" s="117">
        <f t="shared" si="0"/>
        <v>4</v>
      </c>
      <c r="E9" s="49" t="str">
        <f>'Input Data'!E10</f>
        <v>PA</v>
      </c>
      <c r="F9" s="49">
        <f>IFERROR(VLOOKUP(E9,'Input Data'!$K$15:$L$24,2,0),"")</f>
        <v>3</v>
      </c>
      <c r="G9" s="49">
        <f>'Input Data'!F10</f>
        <v>309</v>
      </c>
      <c r="H9" s="50">
        <f>'Input Data'!G10</f>
        <v>4395</v>
      </c>
      <c r="I9" s="50">
        <f>'Input Data'!H10</f>
        <v>0</v>
      </c>
      <c r="J9" s="39" t="str">
        <f>'Input Data'!I10</f>
        <v>-</v>
      </c>
      <c r="K9" s="117">
        <f t="shared" ref="K9:L12" si="1">K8</f>
        <v>0</v>
      </c>
      <c r="L9" s="114" t="str">
        <f t="shared" si="1"/>
        <v>Tercapai</v>
      </c>
      <c r="P9" s="36"/>
    </row>
    <row r="10" spans="1:16" ht="15.75" customHeight="1" x14ac:dyDescent="0.25">
      <c r="A10" s="123" t="str">
        <f t="shared" si="0"/>
        <v>Minggu ke-1</v>
      </c>
      <c r="B10" s="115" t="str">
        <f t="shared" si="0"/>
        <v>Selasa</v>
      </c>
      <c r="C10" s="116">
        <f t="shared" si="0"/>
        <v>43739</v>
      </c>
      <c r="D10" s="117">
        <f t="shared" si="0"/>
        <v>4</v>
      </c>
      <c r="E10" s="49" t="str">
        <f>'Input Data'!E11</f>
        <v>AJ</v>
      </c>
      <c r="F10" s="49">
        <f>IFERROR(VLOOKUP(E10,'Input Data'!$K$15:$L$24,2,0),"")</f>
        <v>2</v>
      </c>
      <c r="G10" s="49">
        <f>'Input Data'!F11</f>
        <v>178</v>
      </c>
      <c r="H10" s="50">
        <f>'Input Data'!G11</f>
        <v>4281</v>
      </c>
      <c r="I10" s="50">
        <f>'Input Data'!H11</f>
        <v>0</v>
      </c>
      <c r="J10" s="39" t="str">
        <f>'Input Data'!I11</f>
        <v>-</v>
      </c>
      <c r="K10" s="117">
        <f t="shared" si="1"/>
        <v>0</v>
      </c>
      <c r="L10" s="114" t="str">
        <f t="shared" si="1"/>
        <v>Tercapai</v>
      </c>
      <c r="P10" s="36"/>
    </row>
    <row r="11" spans="1:16" ht="15.75" customHeight="1" x14ac:dyDescent="0.25">
      <c r="A11" s="123" t="str">
        <f t="shared" si="0"/>
        <v>Minggu ke-1</v>
      </c>
      <c r="B11" s="115" t="str">
        <f t="shared" si="0"/>
        <v>Selasa</v>
      </c>
      <c r="C11" s="116">
        <f t="shared" si="0"/>
        <v>43739</v>
      </c>
      <c r="D11" s="117">
        <f t="shared" si="0"/>
        <v>4</v>
      </c>
      <c r="E11" s="49">
        <f>'Input Data'!E12</f>
        <v>0</v>
      </c>
      <c r="F11" s="49" t="str">
        <f>IFERROR(VLOOKUP(E11,'Input Data'!$K$15:$L$24,2,0),"")</f>
        <v/>
      </c>
      <c r="G11" s="49">
        <f>'Input Data'!F12</f>
        <v>0</v>
      </c>
      <c r="H11" s="50">
        <f>'Input Data'!G12</f>
        <v>0</v>
      </c>
      <c r="I11" s="50">
        <f>'Input Data'!H12</f>
        <v>0</v>
      </c>
      <c r="J11" s="39">
        <f>'Input Data'!I12</f>
        <v>0</v>
      </c>
      <c r="K11" s="117">
        <f t="shared" si="1"/>
        <v>0</v>
      </c>
      <c r="L11" s="114" t="str">
        <f t="shared" si="1"/>
        <v>Tercapai</v>
      </c>
      <c r="P11" s="36"/>
    </row>
    <row r="12" spans="1:16" ht="15.75" customHeight="1" x14ac:dyDescent="0.25">
      <c r="A12" s="123" t="str">
        <f t="shared" si="0"/>
        <v>Minggu ke-1</v>
      </c>
      <c r="B12" s="115" t="str">
        <f t="shared" si="0"/>
        <v>Selasa</v>
      </c>
      <c r="C12" s="116">
        <f t="shared" si="0"/>
        <v>43739</v>
      </c>
      <c r="D12" s="117">
        <f t="shared" si="0"/>
        <v>4</v>
      </c>
      <c r="E12" s="49">
        <f>'Input Data'!E13</f>
        <v>0</v>
      </c>
      <c r="F12" s="49" t="str">
        <f>IFERROR(VLOOKUP(E12,'Input Data'!$K$15:$L$24,2,0),"")</f>
        <v/>
      </c>
      <c r="G12" s="49">
        <f>'Input Data'!F13</f>
        <v>0</v>
      </c>
      <c r="H12" s="50">
        <f>'Input Data'!G13</f>
        <v>0</v>
      </c>
      <c r="I12" s="50">
        <f>'Input Data'!H13</f>
        <v>0</v>
      </c>
      <c r="J12" s="39">
        <f>'Input Data'!I13</f>
        <v>0</v>
      </c>
      <c r="K12" s="117">
        <f t="shared" si="1"/>
        <v>0</v>
      </c>
      <c r="L12" s="114" t="str">
        <f t="shared" si="1"/>
        <v>Tercapai</v>
      </c>
      <c r="P12" s="36"/>
    </row>
    <row r="13" spans="1:16" ht="15.75" customHeight="1" x14ac:dyDescent="0.25">
      <c r="A13" s="123" t="str">
        <f t="shared" si="0"/>
        <v>Minggu ke-1</v>
      </c>
      <c r="B13" s="115" t="str">
        <f>'Input Data'!B14</f>
        <v>Rabu</v>
      </c>
      <c r="C13" s="116">
        <f>'Input Data'!C14</f>
        <v>43740</v>
      </c>
      <c r="D13" s="117">
        <f>'Input Data'!D14</f>
        <v>4</v>
      </c>
      <c r="E13" s="49" t="str">
        <f>'Input Data'!E14</f>
        <v>AJ</v>
      </c>
      <c r="F13" s="49">
        <f>IFERROR(VLOOKUP(E13,'Input Data'!$K$15:$L$24,2,0),"")</f>
        <v>2</v>
      </c>
      <c r="G13" s="49">
        <f>'Input Data'!F14</f>
        <v>257</v>
      </c>
      <c r="H13" s="50">
        <f>'Input Data'!G14</f>
        <v>4394</v>
      </c>
      <c r="I13" s="50">
        <f>'Input Data'!H14</f>
        <v>0</v>
      </c>
      <c r="J13" s="39" t="str">
        <f>'Input Data'!I14</f>
        <v>-</v>
      </c>
      <c r="K13" s="117">
        <f>SUM(I13:I18)</f>
        <v>0</v>
      </c>
      <c r="L13" s="114" t="str">
        <f>IF(K13&lt;=0,"Tercapai","Tidak Tercapai")</f>
        <v>Tercapai</v>
      </c>
      <c r="P13" s="36"/>
    </row>
    <row r="14" spans="1:16" ht="15.75" customHeight="1" x14ac:dyDescent="0.25">
      <c r="A14" s="123" t="str">
        <f t="shared" si="0"/>
        <v>Minggu ke-1</v>
      </c>
      <c r="B14" s="115" t="str">
        <f>B13</f>
        <v>Rabu</v>
      </c>
      <c r="C14" s="116">
        <f>C13</f>
        <v>43740</v>
      </c>
      <c r="D14" s="117">
        <f>D13</f>
        <v>4</v>
      </c>
      <c r="E14" s="49" t="str">
        <f>'Input Data'!E15</f>
        <v>PA</v>
      </c>
      <c r="F14" s="49">
        <f>IFERROR(VLOOKUP(E14,'Input Data'!$K$15:$L$24,2,0),"")</f>
        <v>3</v>
      </c>
      <c r="G14" s="49">
        <f>'Input Data'!F15</f>
        <v>285</v>
      </c>
      <c r="H14" s="50">
        <f>'Input Data'!G15</f>
        <v>4384</v>
      </c>
      <c r="I14" s="50">
        <f>'Input Data'!H15</f>
        <v>0</v>
      </c>
      <c r="J14" s="39" t="str">
        <f>'Input Data'!I15</f>
        <v>-</v>
      </c>
      <c r="K14" s="117">
        <f t="shared" ref="K14:K42" si="2">K13</f>
        <v>0</v>
      </c>
      <c r="L14" s="114" t="str">
        <f t="shared" ref="L14:L77" si="3">L13</f>
        <v>Tercapai</v>
      </c>
      <c r="P14" s="36"/>
    </row>
    <row r="15" spans="1:16" ht="15.75" customHeight="1" x14ac:dyDescent="0.25">
      <c r="A15" s="123" t="str">
        <f t="shared" si="0"/>
        <v>Minggu ke-1</v>
      </c>
      <c r="B15" s="115" t="str">
        <f t="shared" si="0"/>
        <v>Rabu</v>
      </c>
      <c r="C15" s="116">
        <f t="shared" si="0"/>
        <v>43740</v>
      </c>
      <c r="D15" s="117">
        <f t="shared" si="0"/>
        <v>4</v>
      </c>
      <c r="E15" s="49" t="str">
        <f>'Input Data'!E16</f>
        <v>MK</v>
      </c>
      <c r="F15" s="49">
        <f>IFERROR(VLOOKUP(E15,'Input Data'!$K$15:$L$24,2,0),"")</f>
        <v>4</v>
      </c>
      <c r="G15" s="49">
        <f>'Input Data'!F16</f>
        <v>259</v>
      </c>
      <c r="H15" s="50">
        <f>'Input Data'!G16</f>
        <v>3527</v>
      </c>
      <c r="I15" s="50">
        <f>'Input Data'!H16</f>
        <v>0</v>
      </c>
      <c r="J15" s="39" t="str">
        <f>'Input Data'!I16</f>
        <v>-</v>
      </c>
      <c r="K15" s="117">
        <f t="shared" si="2"/>
        <v>0</v>
      </c>
      <c r="L15" s="114" t="str">
        <f t="shared" si="3"/>
        <v>Tercapai</v>
      </c>
      <c r="P15" s="36"/>
    </row>
    <row r="16" spans="1:16" ht="15.75" customHeight="1" x14ac:dyDescent="0.25">
      <c r="A16" s="123" t="str">
        <f t="shared" si="0"/>
        <v>Minggu ke-1</v>
      </c>
      <c r="B16" s="115" t="str">
        <f t="shared" si="0"/>
        <v>Rabu</v>
      </c>
      <c r="C16" s="116">
        <f t="shared" si="0"/>
        <v>43740</v>
      </c>
      <c r="D16" s="117">
        <f t="shared" si="0"/>
        <v>4</v>
      </c>
      <c r="E16" s="49" t="str">
        <f>'Input Data'!E17</f>
        <v>PA</v>
      </c>
      <c r="F16" s="49">
        <f>IFERROR(VLOOKUP(E16,'Input Data'!$K$15:$L$24,2,0),"")</f>
        <v>3</v>
      </c>
      <c r="G16" s="49">
        <f>'Input Data'!F17</f>
        <v>351</v>
      </c>
      <c r="H16" s="50">
        <f>'Input Data'!G17</f>
        <v>4387</v>
      </c>
      <c r="I16" s="50">
        <f>'Input Data'!H17</f>
        <v>0</v>
      </c>
      <c r="J16" s="39" t="str">
        <f>'Input Data'!I17</f>
        <v>-</v>
      </c>
      <c r="K16" s="117">
        <f t="shared" si="2"/>
        <v>0</v>
      </c>
      <c r="L16" s="114" t="str">
        <f t="shared" si="3"/>
        <v>Tercapai</v>
      </c>
      <c r="P16" s="36"/>
    </row>
    <row r="17" spans="1:22" ht="15.75" thickBot="1" x14ac:dyDescent="0.3">
      <c r="A17" s="123" t="str">
        <f t="shared" si="0"/>
        <v>Minggu ke-1</v>
      </c>
      <c r="B17" s="115" t="str">
        <f t="shared" si="0"/>
        <v>Rabu</v>
      </c>
      <c r="C17" s="116">
        <f t="shared" si="0"/>
        <v>43740</v>
      </c>
      <c r="D17" s="117">
        <f t="shared" si="0"/>
        <v>4</v>
      </c>
      <c r="E17" s="49">
        <f>'Input Data'!E18</f>
        <v>0</v>
      </c>
      <c r="F17" s="49" t="str">
        <f>IFERROR(VLOOKUP(E17,'Input Data'!$K$15:$L$24,2,0),"")</f>
        <v/>
      </c>
      <c r="G17" s="49">
        <f>'Input Data'!F18</f>
        <v>0</v>
      </c>
      <c r="H17" s="50">
        <f>'Input Data'!G18</f>
        <v>0</v>
      </c>
      <c r="I17" s="50">
        <f>'Input Data'!H18</f>
        <v>0</v>
      </c>
      <c r="J17" s="39">
        <f>'Input Data'!I18</f>
        <v>0</v>
      </c>
      <c r="K17" s="117">
        <f t="shared" si="2"/>
        <v>0</v>
      </c>
      <c r="L17" s="114" t="str">
        <f t="shared" si="3"/>
        <v>Tercapai</v>
      </c>
      <c r="P17" s="37"/>
    </row>
    <row r="18" spans="1:22" ht="15.75" customHeight="1" x14ac:dyDescent="0.25">
      <c r="A18" s="123" t="str">
        <f t="shared" si="0"/>
        <v>Minggu ke-1</v>
      </c>
      <c r="B18" s="115" t="str">
        <f t="shared" si="0"/>
        <v>Rabu</v>
      </c>
      <c r="C18" s="116">
        <f t="shared" si="0"/>
        <v>43740</v>
      </c>
      <c r="D18" s="117">
        <f t="shared" si="0"/>
        <v>4</v>
      </c>
      <c r="E18" s="49">
        <f>'Input Data'!E19</f>
        <v>0</v>
      </c>
      <c r="F18" s="49" t="str">
        <f>IFERROR(VLOOKUP(E18,'Input Data'!$K$15:$L$24,2,0),"")</f>
        <v/>
      </c>
      <c r="G18" s="49">
        <f>'Input Data'!F19</f>
        <v>0</v>
      </c>
      <c r="H18" s="50">
        <f>'Input Data'!G19</f>
        <v>0</v>
      </c>
      <c r="I18" s="50">
        <f>'Input Data'!H19</f>
        <v>0</v>
      </c>
      <c r="J18" s="39">
        <f>'Input Data'!I19</f>
        <v>0</v>
      </c>
      <c r="K18" s="117">
        <f t="shared" si="2"/>
        <v>0</v>
      </c>
      <c r="L18" s="114" t="str">
        <f t="shared" si="3"/>
        <v>Tercapai</v>
      </c>
    </row>
    <row r="19" spans="1:22" ht="15.75" customHeight="1" x14ac:dyDescent="0.25">
      <c r="A19" s="123" t="str">
        <f t="shared" si="0"/>
        <v>Minggu ke-1</v>
      </c>
      <c r="B19" s="115" t="str">
        <f>'Input Data'!B20</f>
        <v>Kamis</v>
      </c>
      <c r="C19" s="116">
        <f>'Input Data'!C20</f>
        <v>43741</v>
      </c>
      <c r="D19" s="117">
        <f>'Input Data'!D20</f>
        <v>2</v>
      </c>
      <c r="E19" s="49" t="str">
        <f>'Input Data'!E20</f>
        <v>AJ</v>
      </c>
      <c r="F19" s="49">
        <f>IFERROR(VLOOKUP(E19,'Input Data'!$K$15:$L$24,2,0),"")</f>
        <v>2</v>
      </c>
      <c r="G19" s="49">
        <f>'Input Data'!F20</f>
        <v>181</v>
      </c>
      <c r="H19" s="50">
        <f>'Input Data'!G20</f>
        <v>4375</v>
      </c>
      <c r="I19" s="50">
        <f>'Input Data'!H20</f>
        <v>1</v>
      </c>
      <c r="J19" s="39">
        <f>'Input Data'!I20</f>
        <v>1</v>
      </c>
      <c r="K19" s="117">
        <f>SUM(I19:I24)</f>
        <v>1</v>
      </c>
      <c r="L19" s="114" t="str">
        <f>IF(K19&lt;=0,"Tercapai","Tidak Tercapai")</f>
        <v>Tidak Tercapai</v>
      </c>
      <c r="T19" s="1"/>
      <c r="U19" s="1"/>
      <c r="V19" s="1"/>
    </row>
    <row r="20" spans="1:22" ht="15.75" customHeight="1" x14ac:dyDescent="0.25">
      <c r="A20" s="123" t="str">
        <f t="shared" si="0"/>
        <v>Minggu ke-1</v>
      </c>
      <c r="B20" s="115" t="str">
        <f>B19</f>
        <v>Kamis</v>
      </c>
      <c r="C20" s="116">
        <f>C19</f>
        <v>43741</v>
      </c>
      <c r="D20" s="117"/>
      <c r="E20" s="49" t="str">
        <f>'Input Data'!E21</f>
        <v>PA</v>
      </c>
      <c r="F20" s="49">
        <f>IFERROR(VLOOKUP(E20,'Input Data'!$K$15:$L$24,2,0),"")</f>
        <v>3</v>
      </c>
      <c r="G20" s="49">
        <f>'Input Data'!F21</f>
        <v>285</v>
      </c>
      <c r="H20" s="50">
        <f>'Input Data'!G21</f>
        <v>4384</v>
      </c>
      <c r="I20" s="50">
        <f>'Input Data'!H21</f>
        <v>0</v>
      </c>
      <c r="J20" s="39" t="str">
        <f>'Input Data'!I21</f>
        <v>-</v>
      </c>
      <c r="K20" s="117">
        <f>K19</f>
        <v>1</v>
      </c>
      <c r="L20" s="114" t="str">
        <f>L19</f>
        <v>Tidak Tercapai</v>
      </c>
      <c r="T20" s="1"/>
      <c r="U20" s="1"/>
      <c r="V20" s="1"/>
    </row>
    <row r="21" spans="1:22" ht="15.75" customHeight="1" x14ac:dyDescent="0.25">
      <c r="A21" s="123" t="str">
        <f t="shared" si="0"/>
        <v>Minggu ke-1</v>
      </c>
      <c r="B21" s="115" t="str">
        <f t="shared" si="0"/>
        <v>Kamis</v>
      </c>
      <c r="C21" s="116">
        <f t="shared" si="0"/>
        <v>43741</v>
      </c>
      <c r="D21" s="117"/>
      <c r="E21" s="49">
        <f>'Input Data'!E22</f>
        <v>0</v>
      </c>
      <c r="F21" s="49" t="str">
        <f>IFERROR(VLOOKUP(E21,'Input Data'!$K$15:$L$24,2,0),"")</f>
        <v/>
      </c>
      <c r="G21" s="49">
        <f>'Input Data'!F22</f>
        <v>0</v>
      </c>
      <c r="H21" s="50">
        <f>'Input Data'!G22</f>
        <v>0</v>
      </c>
      <c r="I21" s="50">
        <f>'Input Data'!H22</f>
        <v>0</v>
      </c>
      <c r="J21" s="39">
        <f>'Input Data'!I22</f>
        <v>0</v>
      </c>
      <c r="K21" s="117">
        <f t="shared" si="2"/>
        <v>1</v>
      </c>
      <c r="L21" s="114" t="str">
        <f t="shared" si="3"/>
        <v>Tidak Tercapai</v>
      </c>
      <c r="T21" s="1"/>
      <c r="U21" s="1"/>
      <c r="V21" s="1"/>
    </row>
    <row r="22" spans="1:22" ht="15.75" customHeight="1" x14ac:dyDescent="0.25">
      <c r="A22" s="123" t="str">
        <f t="shared" si="0"/>
        <v>Minggu ke-1</v>
      </c>
      <c r="B22" s="115" t="str">
        <f t="shared" si="0"/>
        <v>Kamis</v>
      </c>
      <c r="C22" s="116">
        <f t="shared" si="0"/>
        <v>43741</v>
      </c>
      <c r="D22" s="117"/>
      <c r="E22" s="49">
        <f>'Input Data'!E23</f>
        <v>0</v>
      </c>
      <c r="F22" s="49" t="str">
        <f>IFERROR(VLOOKUP(E22,'Input Data'!$K$15:$L$24,2,0),"")</f>
        <v/>
      </c>
      <c r="G22" s="49">
        <f>'Input Data'!F23</f>
        <v>0</v>
      </c>
      <c r="H22" s="50">
        <f>'Input Data'!G23</f>
        <v>0</v>
      </c>
      <c r="I22" s="50">
        <f>'Input Data'!H23</f>
        <v>0</v>
      </c>
      <c r="J22" s="39">
        <f>'Input Data'!I23</f>
        <v>0</v>
      </c>
      <c r="K22" s="117">
        <f t="shared" si="2"/>
        <v>1</v>
      </c>
      <c r="L22" s="114" t="str">
        <f t="shared" si="3"/>
        <v>Tidak Tercapai</v>
      </c>
      <c r="T22" s="1"/>
      <c r="U22" s="1"/>
      <c r="V22" s="1"/>
    </row>
    <row r="23" spans="1:22" ht="15.75" customHeight="1" x14ac:dyDescent="0.25">
      <c r="A23" s="123" t="str">
        <f t="shared" si="0"/>
        <v>Minggu ke-1</v>
      </c>
      <c r="B23" s="115" t="str">
        <f t="shared" si="0"/>
        <v>Kamis</v>
      </c>
      <c r="C23" s="116">
        <f t="shared" si="0"/>
        <v>43741</v>
      </c>
      <c r="D23" s="117"/>
      <c r="E23" s="49">
        <f>'Input Data'!E24</f>
        <v>0</v>
      </c>
      <c r="F23" s="49" t="str">
        <f>IFERROR(VLOOKUP(E23,'Input Data'!$K$15:$L$24,2,0),"")</f>
        <v/>
      </c>
      <c r="G23" s="49">
        <f>'Input Data'!F24</f>
        <v>0</v>
      </c>
      <c r="H23" s="50">
        <f>'Input Data'!G24</f>
        <v>0</v>
      </c>
      <c r="I23" s="50">
        <f>'Input Data'!H24</f>
        <v>0</v>
      </c>
      <c r="J23" s="39">
        <f>'Input Data'!I24</f>
        <v>0</v>
      </c>
      <c r="K23" s="117">
        <f t="shared" si="2"/>
        <v>1</v>
      </c>
      <c r="L23" s="114" t="str">
        <f t="shared" si="3"/>
        <v>Tidak Tercapai</v>
      </c>
      <c r="T23" s="1"/>
      <c r="U23" s="1"/>
      <c r="V23" s="1"/>
    </row>
    <row r="24" spans="1:22" ht="15.75" customHeight="1" x14ac:dyDescent="0.25">
      <c r="A24" s="123" t="str">
        <f t="shared" si="0"/>
        <v>Minggu ke-1</v>
      </c>
      <c r="B24" s="115" t="str">
        <f t="shared" si="0"/>
        <v>Kamis</v>
      </c>
      <c r="C24" s="116">
        <f t="shared" si="0"/>
        <v>43741</v>
      </c>
      <c r="D24" s="117"/>
      <c r="E24" s="49">
        <f>'Input Data'!E25</f>
        <v>0</v>
      </c>
      <c r="F24" s="49" t="str">
        <f>IFERROR(VLOOKUP(E24,'Input Data'!$K$15:$L$24,2,0),"")</f>
        <v/>
      </c>
      <c r="G24" s="49">
        <f>'Input Data'!F25</f>
        <v>0</v>
      </c>
      <c r="H24" s="50">
        <f>'Input Data'!G25</f>
        <v>0</v>
      </c>
      <c r="I24" s="50">
        <f>'Input Data'!H25</f>
        <v>0</v>
      </c>
      <c r="J24" s="39">
        <f>'Input Data'!I25</f>
        <v>0</v>
      </c>
      <c r="K24" s="117">
        <f t="shared" si="2"/>
        <v>1</v>
      </c>
      <c r="L24" s="114" t="str">
        <f t="shared" si="3"/>
        <v>Tidak Tercapai</v>
      </c>
      <c r="T24" s="1"/>
      <c r="U24" s="1"/>
      <c r="V24" s="1"/>
    </row>
    <row r="25" spans="1:22" ht="15.75" customHeight="1" x14ac:dyDescent="0.25">
      <c r="A25" s="123" t="str">
        <f t="shared" si="0"/>
        <v>Minggu ke-1</v>
      </c>
      <c r="B25" s="115" t="str">
        <f>'Input Data'!B26</f>
        <v>Jum'at</v>
      </c>
      <c r="C25" s="116">
        <f>'Input Data'!C26</f>
        <v>43742</v>
      </c>
      <c r="D25" s="117">
        <f>'Input Data'!D26</f>
        <v>5</v>
      </c>
      <c r="E25" s="49" t="str">
        <f>'Input Data'!E26</f>
        <v>AJ</v>
      </c>
      <c r="F25" s="49">
        <f>IFERROR(VLOOKUP(E25,'Input Data'!$K$15:$L$24,2,0),"")</f>
        <v>2</v>
      </c>
      <c r="G25" s="49">
        <f>'Input Data'!F26</f>
        <v>182</v>
      </c>
      <c r="H25" s="50">
        <f>'Input Data'!G26</f>
        <v>4375</v>
      </c>
      <c r="I25" s="50">
        <f>'Input Data'!H26</f>
        <v>0</v>
      </c>
      <c r="J25" s="39" t="str">
        <f>'Input Data'!I26</f>
        <v>-</v>
      </c>
      <c r="K25" s="117">
        <f>SUM(I25:I30)</f>
        <v>0</v>
      </c>
      <c r="L25" s="114" t="str">
        <f>IF(K25&lt;=0,"Tercapai","Tidak Tercapai")</f>
        <v>Tercapai</v>
      </c>
      <c r="T25" s="1"/>
      <c r="U25" s="1"/>
      <c r="V25" s="1"/>
    </row>
    <row r="26" spans="1:22" ht="15.75" customHeight="1" x14ac:dyDescent="0.25">
      <c r="A26" s="123" t="str">
        <f t="shared" si="0"/>
        <v>Minggu ke-1</v>
      </c>
      <c r="B26" s="115" t="str">
        <f>B25</f>
        <v>Jum'at</v>
      </c>
      <c r="C26" s="116">
        <f>C25</f>
        <v>43742</v>
      </c>
      <c r="D26" s="117">
        <f>D25</f>
        <v>5</v>
      </c>
      <c r="E26" s="49" t="str">
        <f>'Input Data'!E27</f>
        <v>KR</v>
      </c>
      <c r="F26" s="49">
        <f>IFERROR(VLOOKUP(E26,'Input Data'!$K$15:$L$24,2,0),"")</f>
        <v>10</v>
      </c>
      <c r="G26" s="49">
        <f>'Input Data'!F27</f>
        <v>311</v>
      </c>
      <c r="H26" s="50">
        <f>'Input Data'!G27</f>
        <v>4385</v>
      </c>
      <c r="I26" s="50">
        <f>'Input Data'!H27</f>
        <v>0</v>
      </c>
      <c r="J26" s="39" t="str">
        <f>'Input Data'!I27</f>
        <v>-</v>
      </c>
      <c r="K26" s="117">
        <f>K25</f>
        <v>0</v>
      </c>
      <c r="L26" s="114" t="str">
        <f>L25</f>
        <v>Tercapai</v>
      </c>
      <c r="T26" s="1"/>
      <c r="U26" s="1"/>
      <c r="V26" s="1"/>
    </row>
    <row r="27" spans="1:22" ht="15.75" customHeight="1" x14ac:dyDescent="0.25">
      <c r="A27" s="123" t="str">
        <f t="shared" si="0"/>
        <v>Minggu ke-1</v>
      </c>
      <c r="B27" s="115" t="str">
        <f t="shared" si="0"/>
        <v>Jum'at</v>
      </c>
      <c r="C27" s="116">
        <f t="shared" si="0"/>
        <v>43742</v>
      </c>
      <c r="D27" s="117">
        <f t="shared" si="0"/>
        <v>5</v>
      </c>
      <c r="E27" s="49" t="str">
        <f>'Input Data'!E28</f>
        <v>PA</v>
      </c>
      <c r="F27" s="49">
        <f>IFERROR(VLOOKUP(E27,'Input Data'!$K$15:$L$24,2,0),"")</f>
        <v>3</v>
      </c>
      <c r="G27" s="49">
        <f>'Input Data'!F28</f>
        <v>306</v>
      </c>
      <c r="H27" s="50">
        <f>'Input Data'!G28</f>
        <v>4398</v>
      </c>
      <c r="I27" s="50">
        <f>'Input Data'!H28</f>
        <v>0</v>
      </c>
      <c r="J27" s="39" t="str">
        <f>'Input Data'!I28</f>
        <v>-</v>
      </c>
      <c r="K27" s="117">
        <f t="shared" si="2"/>
        <v>0</v>
      </c>
      <c r="L27" s="114" t="str">
        <f t="shared" si="3"/>
        <v>Tercapai</v>
      </c>
      <c r="T27" s="1"/>
      <c r="U27" s="1"/>
      <c r="V27" s="1"/>
    </row>
    <row r="28" spans="1:22" ht="15.75" customHeight="1" x14ac:dyDescent="0.25">
      <c r="A28" s="123" t="str">
        <f t="shared" si="0"/>
        <v>Minggu ke-1</v>
      </c>
      <c r="B28" s="115" t="str">
        <f t="shared" si="0"/>
        <v>Jum'at</v>
      </c>
      <c r="C28" s="116">
        <f t="shared" si="0"/>
        <v>43742</v>
      </c>
      <c r="D28" s="117">
        <f t="shared" si="0"/>
        <v>5</v>
      </c>
      <c r="E28" s="49" t="str">
        <f>'Input Data'!E29</f>
        <v>PA</v>
      </c>
      <c r="F28" s="49">
        <f>IFERROR(VLOOKUP(E28,'Input Data'!$K$15:$L$24,2,0),"")</f>
        <v>3</v>
      </c>
      <c r="G28" s="49">
        <f>'Input Data'!F29</f>
        <v>235</v>
      </c>
      <c r="H28" s="50">
        <f>'Input Data'!G29</f>
        <v>4267</v>
      </c>
      <c r="I28" s="50">
        <f>'Input Data'!H29</f>
        <v>0</v>
      </c>
      <c r="J28" s="39" t="str">
        <f>'Input Data'!I29</f>
        <v>-</v>
      </c>
      <c r="K28" s="117">
        <f t="shared" si="2"/>
        <v>0</v>
      </c>
      <c r="L28" s="114" t="str">
        <f t="shared" si="3"/>
        <v>Tercapai</v>
      </c>
      <c r="T28" s="1"/>
      <c r="U28" s="1"/>
      <c r="V28" s="1"/>
    </row>
    <row r="29" spans="1:22" ht="15.75" customHeight="1" x14ac:dyDescent="0.25">
      <c r="A29" s="123" t="str">
        <f t="shared" si="0"/>
        <v>Minggu ke-1</v>
      </c>
      <c r="B29" s="115" t="str">
        <f t="shared" si="0"/>
        <v>Jum'at</v>
      </c>
      <c r="C29" s="116">
        <f t="shared" si="0"/>
        <v>43742</v>
      </c>
      <c r="D29" s="117">
        <f t="shared" si="0"/>
        <v>5</v>
      </c>
      <c r="E29" s="49" t="str">
        <f>'Input Data'!E30</f>
        <v>AJ</v>
      </c>
      <c r="F29" s="49">
        <f>IFERROR(VLOOKUP(E29,'Input Data'!$K$15:$L$24,2,0),"")</f>
        <v>2</v>
      </c>
      <c r="G29" s="49">
        <f>'Input Data'!F30</f>
        <v>179</v>
      </c>
      <c r="H29" s="50">
        <f>'Input Data'!G30</f>
        <v>4270</v>
      </c>
      <c r="I29" s="50">
        <f>'Input Data'!H30</f>
        <v>0</v>
      </c>
      <c r="J29" s="39" t="str">
        <f>'Input Data'!I30</f>
        <v>-</v>
      </c>
      <c r="K29" s="117">
        <f t="shared" si="2"/>
        <v>0</v>
      </c>
      <c r="L29" s="114" t="str">
        <f t="shared" si="3"/>
        <v>Tercapai</v>
      </c>
      <c r="T29" s="1"/>
      <c r="U29" s="1"/>
      <c r="V29" s="1"/>
    </row>
    <row r="30" spans="1:22" ht="15.75" customHeight="1" x14ac:dyDescent="0.25">
      <c r="A30" s="123" t="str">
        <f t="shared" si="0"/>
        <v>Minggu ke-1</v>
      </c>
      <c r="B30" s="115" t="str">
        <f t="shared" si="0"/>
        <v>Jum'at</v>
      </c>
      <c r="C30" s="116">
        <f t="shared" si="0"/>
        <v>43742</v>
      </c>
      <c r="D30" s="117">
        <f t="shared" si="0"/>
        <v>5</v>
      </c>
      <c r="E30" s="49">
        <f>'Input Data'!E31</f>
        <v>0</v>
      </c>
      <c r="F30" s="49" t="str">
        <f>IFERROR(VLOOKUP(E30,'Input Data'!$K$15:$L$24,2,0),"")</f>
        <v/>
      </c>
      <c r="G30" s="49">
        <f>'Input Data'!F31</f>
        <v>0</v>
      </c>
      <c r="H30" s="50">
        <f>'Input Data'!G31</f>
        <v>0</v>
      </c>
      <c r="I30" s="50">
        <f>'Input Data'!H31</f>
        <v>0</v>
      </c>
      <c r="J30" s="39">
        <f>'Input Data'!I31</f>
        <v>0</v>
      </c>
      <c r="K30" s="117">
        <f t="shared" si="2"/>
        <v>0</v>
      </c>
      <c r="L30" s="114" t="str">
        <f t="shared" si="3"/>
        <v>Tercapai</v>
      </c>
      <c r="T30" s="1"/>
      <c r="U30" s="1"/>
      <c r="V30" s="1"/>
    </row>
    <row r="31" spans="1:22" x14ac:dyDescent="0.25">
      <c r="A31" s="123" t="str">
        <f t="shared" si="0"/>
        <v>Minggu ke-1</v>
      </c>
      <c r="B31" s="115" t="str">
        <f>'Input Data'!B32</f>
        <v>Sabtu</v>
      </c>
      <c r="C31" s="116">
        <f>'Input Data'!C32</f>
        <v>43743</v>
      </c>
      <c r="D31" s="117">
        <f>'Input Data'!D32</f>
        <v>2</v>
      </c>
      <c r="E31" s="49" t="str">
        <f>'Input Data'!E32</f>
        <v>MT</v>
      </c>
      <c r="F31" s="49">
        <f>IFERROR(VLOOKUP(E31,'Input Data'!$K$15:$L$24,2,0),"")</f>
        <v>5</v>
      </c>
      <c r="G31" s="49">
        <f>'Input Data'!F32</f>
        <v>307</v>
      </c>
      <c r="H31" s="50">
        <f>'Input Data'!G32</f>
        <v>4402</v>
      </c>
      <c r="I31" s="50">
        <f>'Input Data'!H32</f>
        <v>0</v>
      </c>
      <c r="J31" s="39" t="str">
        <f>'Input Data'!I32</f>
        <v>-</v>
      </c>
      <c r="K31" s="117">
        <f>SUM(I31:I36)</f>
        <v>1</v>
      </c>
      <c r="L31" s="114" t="str">
        <f>IF(K31&lt;=0,"Tercapai","Tidak Tercapai")</f>
        <v>Tidak Tercapai</v>
      </c>
      <c r="T31" s="1"/>
      <c r="U31" s="1"/>
      <c r="V31" s="1"/>
    </row>
    <row r="32" spans="1:22" ht="15.75" customHeight="1" x14ac:dyDescent="0.25">
      <c r="A32" s="123" t="str">
        <f t="shared" si="0"/>
        <v>Minggu ke-1</v>
      </c>
      <c r="B32" s="115" t="str">
        <f>B31</f>
        <v>Sabtu</v>
      </c>
      <c r="C32" s="116">
        <f>C31</f>
        <v>43743</v>
      </c>
      <c r="D32" s="117">
        <f>D31</f>
        <v>2</v>
      </c>
      <c r="E32" s="49" t="str">
        <f>'Input Data'!E33</f>
        <v>AJ</v>
      </c>
      <c r="F32" s="49">
        <f>IFERROR(VLOOKUP(E32,'Input Data'!$K$15:$L$24,2,0),"")</f>
        <v>2</v>
      </c>
      <c r="G32" s="49">
        <f>'Input Data'!F33</f>
        <v>242</v>
      </c>
      <c r="H32" s="50">
        <f>'Input Data'!G33</f>
        <v>4306</v>
      </c>
      <c r="I32" s="50">
        <f>'Input Data'!H33</f>
        <v>1</v>
      </c>
      <c r="J32" s="39">
        <f>'Input Data'!I33</f>
        <v>4</v>
      </c>
      <c r="K32" s="117">
        <f>K31</f>
        <v>1</v>
      </c>
      <c r="L32" s="114" t="str">
        <f>L31</f>
        <v>Tidak Tercapai</v>
      </c>
      <c r="T32" s="1"/>
      <c r="U32" s="1"/>
      <c r="V32" s="1"/>
    </row>
    <row r="33" spans="1:22" ht="15.75" customHeight="1" x14ac:dyDescent="0.25">
      <c r="A33" s="123" t="str">
        <f t="shared" si="0"/>
        <v>Minggu ke-1</v>
      </c>
      <c r="B33" s="115" t="str">
        <f t="shared" si="0"/>
        <v>Sabtu</v>
      </c>
      <c r="C33" s="116">
        <f t="shared" si="0"/>
        <v>43743</v>
      </c>
      <c r="D33" s="117">
        <f t="shared" si="0"/>
        <v>2</v>
      </c>
      <c r="E33" s="49">
        <f>'Input Data'!E34</f>
        <v>0</v>
      </c>
      <c r="F33" s="49" t="str">
        <f>IFERROR(VLOOKUP(E33,'Input Data'!$K$15:$L$24,2,0),"")</f>
        <v/>
      </c>
      <c r="G33" s="49">
        <f>'Input Data'!F34</f>
        <v>0</v>
      </c>
      <c r="H33" s="50">
        <f>'Input Data'!G34</f>
        <v>0</v>
      </c>
      <c r="I33" s="50">
        <f>'Input Data'!H34</f>
        <v>0</v>
      </c>
      <c r="J33" s="39">
        <f>'Input Data'!I34</f>
        <v>0</v>
      </c>
      <c r="K33" s="117">
        <f t="shared" si="2"/>
        <v>1</v>
      </c>
      <c r="L33" s="114" t="str">
        <f t="shared" si="3"/>
        <v>Tidak Tercapai</v>
      </c>
      <c r="T33" s="1"/>
      <c r="U33" s="1"/>
      <c r="V33" s="1"/>
    </row>
    <row r="34" spans="1:22" ht="15.75" customHeight="1" x14ac:dyDescent="0.25">
      <c r="A34" s="123" t="str">
        <f t="shared" si="0"/>
        <v>Minggu ke-1</v>
      </c>
      <c r="B34" s="115" t="str">
        <f t="shared" si="0"/>
        <v>Sabtu</v>
      </c>
      <c r="C34" s="116">
        <f t="shared" si="0"/>
        <v>43743</v>
      </c>
      <c r="D34" s="117">
        <f t="shared" si="0"/>
        <v>2</v>
      </c>
      <c r="E34" s="49">
        <f>'Input Data'!E35</f>
        <v>0</v>
      </c>
      <c r="F34" s="49" t="str">
        <f>IFERROR(VLOOKUP(E34,'Input Data'!$K$15:$L$24,2,0),"")</f>
        <v/>
      </c>
      <c r="G34" s="49">
        <f>'Input Data'!F35</f>
        <v>0</v>
      </c>
      <c r="H34" s="50">
        <f>'Input Data'!G35</f>
        <v>0</v>
      </c>
      <c r="I34" s="50">
        <f>'Input Data'!H35</f>
        <v>0</v>
      </c>
      <c r="J34" s="39">
        <f>'Input Data'!I35</f>
        <v>0</v>
      </c>
      <c r="K34" s="117">
        <f t="shared" si="2"/>
        <v>1</v>
      </c>
      <c r="L34" s="114" t="str">
        <f t="shared" si="3"/>
        <v>Tidak Tercapai</v>
      </c>
      <c r="T34" s="1"/>
      <c r="U34" s="1"/>
      <c r="V34" s="1"/>
    </row>
    <row r="35" spans="1:22" ht="15.75" customHeight="1" x14ac:dyDescent="0.25">
      <c r="A35" s="123" t="str">
        <f t="shared" si="0"/>
        <v>Minggu ke-1</v>
      </c>
      <c r="B35" s="115" t="str">
        <f t="shared" si="0"/>
        <v>Sabtu</v>
      </c>
      <c r="C35" s="116">
        <f t="shared" si="0"/>
        <v>43743</v>
      </c>
      <c r="D35" s="117">
        <f t="shared" si="0"/>
        <v>2</v>
      </c>
      <c r="E35" s="49">
        <f>'Input Data'!E36</f>
        <v>0</v>
      </c>
      <c r="F35" s="49" t="str">
        <f>IFERROR(VLOOKUP(E35,'Input Data'!$K$15:$L$24,2,0),"")</f>
        <v/>
      </c>
      <c r="G35" s="49">
        <f>'Input Data'!F36</f>
        <v>0</v>
      </c>
      <c r="H35" s="50">
        <f>'Input Data'!G36</f>
        <v>0</v>
      </c>
      <c r="I35" s="50">
        <f>'Input Data'!H36</f>
        <v>0</v>
      </c>
      <c r="J35" s="39">
        <f>'Input Data'!I36</f>
        <v>0</v>
      </c>
      <c r="K35" s="117">
        <f t="shared" si="2"/>
        <v>1</v>
      </c>
      <c r="L35" s="114" t="str">
        <f t="shared" si="3"/>
        <v>Tidak Tercapai</v>
      </c>
      <c r="T35" s="1"/>
      <c r="U35" s="1"/>
      <c r="V35" s="1"/>
    </row>
    <row r="36" spans="1:22" ht="15.75" customHeight="1" x14ac:dyDescent="0.25">
      <c r="A36" s="123" t="str">
        <f t="shared" si="0"/>
        <v>Minggu ke-1</v>
      </c>
      <c r="B36" s="115" t="str">
        <f t="shared" si="0"/>
        <v>Sabtu</v>
      </c>
      <c r="C36" s="116">
        <f t="shared" si="0"/>
        <v>43743</v>
      </c>
      <c r="D36" s="117">
        <f t="shared" si="0"/>
        <v>2</v>
      </c>
      <c r="E36" s="49">
        <f>'Input Data'!E37</f>
        <v>0</v>
      </c>
      <c r="F36" s="49" t="str">
        <f>IFERROR(VLOOKUP(E36,'Input Data'!$K$15:$L$24,2,0),"")</f>
        <v/>
      </c>
      <c r="G36" s="49">
        <f>'Input Data'!F37</f>
        <v>0</v>
      </c>
      <c r="H36" s="50">
        <f>'Input Data'!G37</f>
        <v>0</v>
      </c>
      <c r="I36" s="50">
        <f>'Input Data'!H37</f>
        <v>0</v>
      </c>
      <c r="J36" s="39">
        <f>'Input Data'!I37</f>
        <v>0</v>
      </c>
      <c r="K36" s="117">
        <f t="shared" si="2"/>
        <v>1</v>
      </c>
      <c r="L36" s="114" t="str">
        <f t="shared" si="3"/>
        <v>Tidak Tercapai</v>
      </c>
      <c r="T36" s="1"/>
      <c r="U36" s="1"/>
      <c r="V36" s="1"/>
    </row>
    <row r="37" spans="1:22" ht="15.75" customHeight="1" x14ac:dyDescent="0.25">
      <c r="A37" s="123" t="str">
        <f t="shared" si="0"/>
        <v>Minggu ke-1</v>
      </c>
      <c r="B37" s="115">
        <f>'Input Data'!B38</f>
        <v>0</v>
      </c>
      <c r="C37" s="116">
        <f>IFERROR(('Input Data'!C38),"-")</f>
        <v>0</v>
      </c>
      <c r="D37" s="117">
        <f>'Input Data'!D38</f>
        <v>0</v>
      </c>
      <c r="E37" s="49">
        <f>'Input Data'!E38</f>
        <v>0</v>
      </c>
      <c r="F37" s="49" t="str">
        <f>IFERROR(VLOOKUP(E37,'Input Data'!$K$15:$L$24,2,0),"")</f>
        <v/>
      </c>
      <c r="G37" s="49">
        <f>'Input Data'!F38</f>
        <v>0</v>
      </c>
      <c r="H37" s="50">
        <f>'Input Data'!G38</f>
        <v>0</v>
      </c>
      <c r="I37" s="50">
        <f>'Input Data'!H38</f>
        <v>0</v>
      </c>
      <c r="J37" s="39">
        <f>'Input Data'!I38</f>
        <v>0</v>
      </c>
      <c r="K37" s="117">
        <f>SUM(I37:I42)</f>
        <v>0</v>
      </c>
      <c r="L37" s="114" t="str">
        <f>IF(K37&lt;=0,"Tercapai","Tidak Tercapai")</f>
        <v>Tercapai</v>
      </c>
      <c r="T37" s="1"/>
      <c r="U37" s="1"/>
      <c r="V37" s="1"/>
    </row>
    <row r="38" spans="1:22" x14ac:dyDescent="0.25">
      <c r="A38" s="123" t="str">
        <f t="shared" si="0"/>
        <v>Minggu ke-1</v>
      </c>
      <c r="B38" s="115">
        <f>B37</f>
        <v>0</v>
      </c>
      <c r="C38" s="116">
        <f>C37</f>
        <v>0</v>
      </c>
      <c r="D38" s="117">
        <f t="shared" ref="D38:D101" si="4">D37</f>
        <v>0</v>
      </c>
      <c r="E38" s="49">
        <f>'Input Data'!E39</f>
        <v>0</v>
      </c>
      <c r="F38" s="49" t="str">
        <f>IFERROR(VLOOKUP(E38,'Input Data'!$K$15:$L$24,2,0),"")</f>
        <v/>
      </c>
      <c r="G38" s="49">
        <f>'Input Data'!F39</f>
        <v>0</v>
      </c>
      <c r="H38" s="50">
        <f>'Input Data'!G39</f>
        <v>0</v>
      </c>
      <c r="I38" s="50">
        <f>'Input Data'!H39</f>
        <v>0</v>
      </c>
      <c r="J38" s="39">
        <f>'Input Data'!I39</f>
        <v>0</v>
      </c>
      <c r="K38" s="117">
        <f t="shared" ref="K38:L101" si="5">K37</f>
        <v>0</v>
      </c>
      <c r="L38" s="114" t="str">
        <f>L37</f>
        <v>Tercapai</v>
      </c>
    </row>
    <row r="39" spans="1:22" ht="15.75" customHeight="1" x14ac:dyDescent="0.25">
      <c r="A39" s="123" t="str">
        <f t="shared" si="0"/>
        <v>Minggu ke-1</v>
      </c>
      <c r="B39" s="115">
        <f t="shared" si="0"/>
        <v>0</v>
      </c>
      <c r="C39" s="116">
        <f t="shared" si="0"/>
        <v>0</v>
      </c>
      <c r="D39" s="117">
        <f t="shared" si="0"/>
        <v>0</v>
      </c>
      <c r="E39" s="49">
        <f>'Input Data'!E40</f>
        <v>0</v>
      </c>
      <c r="F39" s="49" t="str">
        <f>IFERROR(VLOOKUP(E39,'Input Data'!$K$15:$L$24,2,0),"")</f>
        <v/>
      </c>
      <c r="G39" s="49">
        <f>'Input Data'!F40</f>
        <v>0</v>
      </c>
      <c r="H39" s="50">
        <f>'Input Data'!G40</f>
        <v>0</v>
      </c>
      <c r="I39" s="50">
        <f>'Input Data'!H40</f>
        <v>0</v>
      </c>
      <c r="J39" s="39">
        <f>'Input Data'!I40</f>
        <v>0</v>
      </c>
      <c r="K39" s="117">
        <f t="shared" si="2"/>
        <v>0</v>
      </c>
      <c r="L39" s="114" t="str">
        <f t="shared" si="3"/>
        <v>Tercapai</v>
      </c>
    </row>
    <row r="40" spans="1:22" ht="15.75" customHeight="1" x14ac:dyDescent="0.25">
      <c r="A40" s="123" t="str">
        <f t="shared" si="0"/>
        <v>Minggu ke-1</v>
      </c>
      <c r="B40" s="115">
        <f t="shared" si="0"/>
        <v>0</v>
      </c>
      <c r="C40" s="116">
        <f t="shared" si="0"/>
        <v>0</v>
      </c>
      <c r="D40" s="117">
        <f t="shared" si="0"/>
        <v>0</v>
      </c>
      <c r="E40" s="49">
        <f>'Input Data'!E41</f>
        <v>0</v>
      </c>
      <c r="F40" s="49" t="str">
        <f>IFERROR(VLOOKUP(E40,'Input Data'!$K$15:$L$24,2,0),"")</f>
        <v/>
      </c>
      <c r="G40" s="49">
        <f>'Input Data'!F41</f>
        <v>0</v>
      </c>
      <c r="H40" s="50">
        <f>'Input Data'!G41</f>
        <v>0</v>
      </c>
      <c r="I40" s="50">
        <f>'Input Data'!H41</f>
        <v>0</v>
      </c>
      <c r="J40" s="39">
        <f>'Input Data'!I41</f>
        <v>0</v>
      </c>
      <c r="K40" s="117">
        <f t="shared" si="2"/>
        <v>0</v>
      </c>
      <c r="L40" s="114" t="str">
        <f t="shared" si="3"/>
        <v>Tercapai</v>
      </c>
    </row>
    <row r="41" spans="1:22" x14ac:dyDescent="0.25">
      <c r="A41" s="123" t="str">
        <f t="shared" si="0"/>
        <v>Minggu ke-1</v>
      </c>
      <c r="B41" s="115">
        <f t="shared" si="0"/>
        <v>0</v>
      </c>
      <c r="C41" s="116">
        <f t="shared" si="0"/>
        <v>0</v>
      </c>
      <c r="D41" s="117">
        <f t="shared" si="0"/>
        <v>0</v>
      </c>
      <c r="E41" s="49">
        <f>'Input Data'!E42</f>
        <v>0</v>
      </c>
      <c r="F41" s="49" t="str">
        <f>IFERROR(VLOOKUP(E41,'Input Data'!$K$15:$L$24,2,0),"")</f>
        <v/>
      </c>
      <c r="G41" s="49">
        <f>'Input Data'!F42</f>
        <v>0</v>
      </c>
      <c r="H41" s="50">
        <f>'Input Data'!G42</f>
        <v>0</v>
      </c>
      <c r="I41" s="50">
        <f>'Input Data'!H42</f>
        <v>0</v>
      </c>
      <c r="J41" s="39">
        <f>'Input Data'!I42</f>
        <v>0</v>
      </c>
      <c r="K41" s="117">
        <f t="shared" si="2"/>
        <v>0</v>
      </c>
      <c r="L41" s="114" t="str">
        <f t="shared" si="3"/>
        <v>Tercapai</v>
      </c>
    </row>
    <row r="42" spans="1:22" ht="15.75" thickBot="1" x14ac:dyDescent="0.3">
      <c r="A42" s="124" t="str">
        <f t="shared" si="0"/>
        <v>Minggu ke-1</v>
      </c>
      <c r="B42" s="126">
        <f t="shared" si="0"/>
        <v>0</v>
      </c>
      <c r="C42" s="129">
        <f t="shared" si="0"/>
        <v>0</v>
      </c>
      <c r="D42" s="130">
        <f t="shared" si="0"/>
        <v>0</v>
      </c>
      <c r="E42" s="51">
        <f>'Input Data'!E43</f>
        <v>0</v>
      </c>
      <c r="F42" s="51" t="str">
        <f>IFERROR(VLOOKUP(E42,'Input Data'!$K$15:$L$24,2,0),"")</f>
        <v/>
      </c>
      <c r="G42" s="51">
        <f>'Input Data'!F43</f>
        <v>0</v>
      </c>
      <c r="H42" s="34">
        <f>'Input Data'!G43</f>
        <v>0</v>
      </c>
      <c r="I42" s="34">
        <f>'Input Data'!H43</f>
        <v>0</v>
      </c>
      <c r="J42" s="56">
        <f>'Input Data'!I43</f>
        <v>0</v>
      </c>
      <c r="K42" s="130">
        <f t="shared" si="2"/>
        <v>0</v>
      </c>
      <c r="L42" s="118" t="str">
        <f t="shared" si="3"/>
        <v>Tercapai</v>
      </c>
    </row>
    <row r="43" spans="1:22" x14ac:dyDescent="0.25">
      <c r="A43" s="122" t="s">
        <v>31</v>
      </c>
      <c r="B43" s="125" t="str">
        <f>'Input Data'!B46</f>
        <v>Senin</v>
      </c>
      <c r="C43" s="127">
        <f>'Input Data'!C46</f>
        <v>43745</v>
      </c>
      <c r="D43" s="128">
        <f>'Input Data'!D46</f>
        <v>4</v>
      </c>
      <c r="E43" s="81" t="str">
        <f>'Input Data'!E46</f>
        <v>AJ</v>
      </c>
      <c r="F43" s="81">
        <f>IFERROR(VLOOKUP(E43,'Input Data'!$K$15:$L$24,2,0),"")</f>
        <v>2</v>
      </c>
      <c r="G43" s="81">
        <f>'Input Data'!F46</f>
        <v>242</v>
      </c>
      <c r="H43" s="82">
        <f>'Input Data'!G46</f>
        <v>4347</v>
      </c>
      <c r="I43" s="82">
        <f>'Input Data'!H46</f>
        <v>1</v>
      </c>
      <c r="J43" s="83">
        <f>'Input Data'!I46</f>
        <v>3</v>
      </c>
      <c r="K43" s="128">
        <f>SUM(I43:I48)</f>
        <v>2</v>
      </c>
      <c r="L43" s="121" t="str">
        <f>IF(K43&lt;=0,"Tercapai","Tidak Tercapai")</f>
        <v>Tidak Tercapai</v>
      </c>
    </row>
    <row r="44" spans="1:22" x14ac:dyDescent="0.25">
      <c r="A44" s="123" t="str">
        <f>A43</f>
        <v>Minggu ke-2</v>
      </c>
      <c r="B44" s="115" t="str">
        <f>B43</f>
        <v>Senin</v>
      </c>
      <c r="C44" s="116">
        <f>C43</f>
        <v>43745</v>
      </c>
      <c r="D44" s="117">
        <f t="shared" si="4"/>
        <v>4</v>
      </c>
      <c r="E44" s="49" t="str">
        <f>'Input Data'!E47</f>
        <v>PA</v>
      </c>
      <c r="F44" s="49">
        <f>IFERROR(VLOOKUP(E44,'Input Data'!$K$15:$L$24,2,0),"")</f>
        <v>3</v>
      </c>
      <c r="G44" s="49">
        <f>'Input Data'!F47</f>
        <v>306</v>
      </c>
      <c r="H44" s="50">
        <f>'Input Data'!G47</f>
        <v>4398</v>
      </c>
      <c r="I44" s="50">
        <f>'Input Data'!H47</f>
        <v>0</v>
      </c>
      <c r="J44" s="39" t="str">
        <f>'Input Data'!I47</f>
        <v>-</v>
      </c>
      <c r="K44" s="117">
        <f t="shared" si="5"/>
        <v>2</v>
      </c>
      <c r="L44" s="114" t="str">
        <f>L43</f>
        <v>Tidak Tercapai</v>
      </c>
    </row>
    <row r="45" spans="1:22" x14ac:dyDescent="0.25">
      <c r="A45" s="123" t="str">
        <f t="shared" ref="A45:C78" si="6">A44</f>
        <v>Minggu ke-2</v>
      </c>
      <c r="B45" s="115" t="str">
        <f t="shared" si="6"/>
        <v>Senin</v>
      </c>
      <c r="C45" s="116">
        <f t="shared" si="6"/>
        <v>43745</v>
      </c>
      <c r="D45" s="117">
        <f t="shared" si="4"/>
        <v>4</v>
      </c>
      <c r="E45" s="49" t="str">
        <f>'Input Data'!E48</f>
        <v>AJ</v>
      </c>
      <c r="F45" s="49">
        <f>IFERROR(VLOOKUP(E45,'Input Data'!$K$15:$L$24,2,0),"")</f>
        <v>2</v>
      </c>
      <c r="G45" s="49">
        <f>'Input Data'!F48</f>
        <v>304</v>
      </c>
      <c r="H45" s="50">
        <f>'Input Data'!G48</f>
        <v>4396</v>
      </c>
      <c r="I45" s="50">
        <f>'Input Data'!H48</f>
        <v>0</v>
      </c>
      <c r="J45" s="39" t="str">
        <f>'Input Data'!I48</f>
        <v>-</v>
      </c>
      <c r="K45" s="117">
        <f t="shared" si="5"/>
        <v>2</v>
      </c>
      <c r="L45" s="114" t="str">
        <f t="shared" si="3"/>
        <v>Tidak Tercapai</v>
      </c>
    </row>
    <row r="46" spans="1:22" x14ac:dyDescent="0.25">
      <c r="A46" s="123" t="str">
        <f t="shared" si="6"/>
        <v>Minggu ke-2</v>
      </c>
      <c r="B46" s="115" t="str">
        <f t="shared" si="6"/>
        <v>Senin</v>
      </c>
      <c r="C46" s="116">
        <f t="shared" si="6"/>
        <v>43745</v>
      </c>
      <c r="D46" s="117">
        <f t="shared" si="4"/>
        <v>4</v>
      </c>
      <c r="E46" s="49" t="str">
        <f>'Input Data'!E49</f>
        <v>AJ</v>
      </c>
      <c r="F46" s="49">
        <f>IFERROR(VLOOKUP(E46,'Input Data'!$K$15:$L$24,2,0),"")</f>
        <v>2</v>
      </c>
      <c r="G46" s="49">
        <f>'Input Data'!F49</f>
        <v>301</v>
      </c>
      <c r="H46" s="50">
        <f>'Input Data'!G49</f>
        <v>4361</v>
      </c>
      <c r="I46" s="50">
        <f>'Input Data'!H49</f>
        <v>1</v>
      </c>
      <c r="J46" s="39">
        <f>'Input Data'!I49</f>
        <v>3</v>
      </c>
      <c r="K46" s="117">
        <f t="shared" si="5"/>
        <v>2</v>
      </c>
      <c r="L46" s="114" t="str">
        <f t="shared" si="3"/>
        <v>Tidak Tercapai</v>
      </c>
    </row>
    <row r="47" spans="1:22" x14ac:dyDescent="0.25">
      <c r="A47" s="123" t="str">
        <f t="shared" si="6"/>
        <v>Minggu ke-2</v>
      </c>
      <c r="B47" s="115" t="str">
        <f t="shared" si="6"/>
        <v>Senin</v>
      </c>
      <c r="C47" s="116">
        <f t="shared" si="6"/>
        <v>43745</v>
      </c>
      <c r="D47" s="117">
        <f t="shared" si="4"/>
        <v>4</v>
      </c>
      <c r="E47" s="49">
        <f>'Input Data'!E50</f>
        <v>0</v>
      </c>
      <c r="F47" s="49" t="str">
        <f>IFERROR(VLOOKUP(E47,'Input Data'!$K$15:$L$24,2,0),"")</f>
        <v/>
      </c>
      <c r="G47" s="49">
        <f>'Input Data'!F50</f>
        <v>0</v>
      </c>
      <c r="H47" s="50">
        <f>'Input Data'!G50</f>
        <v>0</v>
      </c>
      <c r="I47" s="50">
        <f>'Input Data'!H50</f>
        <v>0</v>
      </c>
      <c r="J47" s="39">
        <f>'Input Data'!I50</f>
        <v>0</v>
      </c>
      <c r="K47" s="117">
        <f t="shared" si="5"/>
        <v>2</v>
      </c>
      <c r="L47" s="114" t="str">
        <f t="shared" si="3"/>
        <v>Tidak Tercapai</v>
      </c>
    </row>
    <row r="48" spans="1:22" x14ac:dyDescent="0.25">
      <c r="A48" s="123" t="str">
        <f t="shared" si="6"/>
        <v>Minggu ke-2</v>
      </c>
      <c r="B48" s="115" t="str">
        <f t="shared" si="6"/>
        <v>Senin</v>
      </c>
      <c r="C48" s="116">
        <f t="shared" si="6"/>
        <v>43745</v>
      </c>
      <c r="D48" s="117">
        <f t="shared" si="4"/>
        <v>4</v>
      </c>
      <c r="E48" s="49">
        <f>'Input Data'!E51</f>
        <v>0</v>
      </c>
      <c r="F48" s="49" t="str">
        <f>IFERROR(VLOOKUP(E48,'Input Data'!$K$15:$L$24,2,0),"")</f>
        <v/>
      </c>
      <c r="G48" s="49">
        <f>'Input Data'!F51</f>
        <v>0</v>
      </c>
      <c r="H48" s="50">
        <f>'Input Data'!G51</f>
        <v>0</v>
      </c>
      <c r="I48" s="50">
        <f>'Input Data'!H51</f>
        <v>0</v>
      </c>
      <c r="J48" s="39">
        <f>'Input Data'!I51</f>
        <v>0</v>
      </c>
      <c r="K48" s="117">
        <f t="shared" si="5"/>
        <v>2</v>
      </c>
      <c r="L48" s="114" t="str">
        <f t="shared" si="3"/>
        <v>Tidak Tercapai</v>
      </c>
    </row>
    <row r="49" spans="1:12" x14ac:dyDescent="0.25">
      <c r="A49" s="123" t="str">
        <f t="shared" si="6"/>
        <v>Minggu ke-2</v>
      </c>
      <c r="B49" s="115" t="str">
        <f>'Input Data'!B52</f>
        <v>Selasa</v>
      </c>
      <c r="C49" s="116">
        <f>'Input Data'!C52</f>
        <v>43746</v>
      </c>
      <c r="D49" s="117">
        <f>'Input Data'!D52</f>
        <v>4</v>
      </c>
      <c r="E49" s="49" t="str">
        <f>'Input Data'!E52</f>
        <v>CT</v>
      </c>
      <c r="F49" s="49">
        <f>IFERROR(VLOOKUP(E49,'Input Data'!$K$15:$L$24,2,0),"")</f>
        <v>9</v>
      </c>
      <c r="G49" s="49">
        <f>'Input Data'!F52</f>
        <v>184</v>
      </c>
      <c r="H49" s="50">
        <f>'Input Data'!G52</f>
        <v>2500</v>
      </c>
      <c r="I49" s="50">
        <f>'Input Data'!H52</f>
        <v>0</v>
      </c>
      <c r="J49" s="39" t="str">
        <f>'Input Data'!I52</f>
        <v>-</v>
      </c>
      <c r="K49" s="117">
        <f>SUM(I49:I54)</f>
        <v>1</v>
      </c>
      <c r="L49" s="114" t="str">
        <f>IF(K49&lt;=0,"Tercapai","Tidak Tercapai")</f>
        <v>Tidak Tercapai</v>
      </c>
    </row>
    <row r="50" spans="1:12" x14ac:dyDescent="0.25">
      <c r="A50" s="123" t="str">
        <f t="shared" si="6"/>
        <v>Minggu ke-2</v>
      </c>
      <c r="B50" s="115" t="str">
        <f>B49</f>
        <v>Selasa</v>
      </c>
      <c r="C50" s="116">
        <f>C49</f>
        <v>43746</v>
      </c>
      <c r="D50" s="117">
        <f t="shared" si="4"/>
        <v>4</v>
      </c>
      <c r="E50" s="49" t="str">
        <f>'Input Data'!E53</f>
        <v>TS</v>
      </c>
      <c r="F50" s="49">
        <f>IFERROR(VLOOKUP(E50,'Input Data'!$K$15:$L$24,2,0),"")</f>
        <v>8</v>
      </c>
      <c r="G50" s="49">
        <f>'Input Data'!F53</f>
        <v>186</v>
      </c>
      <c r="H50" s="50">
        <f>'Input Data'!G53</f>
        <v>4357</v>
      </c>
      <c r="I50" s="50">
        <f>'Input Data'!H53</f>
        <v>1</v>
      </c>
      <c r="J50" s="39">
        <f>'Input Data'!I53</f>
        <v>4</v>
      </c>
      <c r="K50" s="117">
        <f t="shared" si="5"/>
        <v>1</v>
      </c>
      <c r="L50" s="114" t="str">
        <f>L49</f>
        <v>Tidak Tercapai</v>
      </c>
    </row>
    <row r="51" spans="1:12" x14ac:dyDescent="0.25">
      <c r="A51" s="123" t="str">
        <f t="shared" si="6"/>
        <v>Minggu ke-2</v>
      </c>
      <c r="B51" s="115" t="str">
        <f t="shared" si="6"/>
        <v>Selasa</v>
      </c>
      <c r="C51" s="116">
        <f t="shared" si="6"/>
        <v>43746</v>
      </c>
      <c r="D51" s="117">
        <f t="shared" si="4"/>
        <v>4</v>
      </c>
      <c r="E51" s="49" t="str">
        <f>'Input Data'!E54</f>
        <v>CT</v>
      </c>
      <c r="F51" s="49">
        <f>IFERROR(VLOOKUP(E51,'Input Data'!$K$15:$L$24,2,0),"")</f>
        <v>9</v>
      </c>
      <c r="G51" s="49">
        <f>'Input Data'!F54</f>
        <v>317</v>
      </c>
      <c r="H51" s="50">
        <f>'Input Data'!G54</f>
        <v>3968</v>
      </c>
      <c r="I51" s="50">
        <f>'Input Data'!H54</f>
        <v>0</v>
      </c>
      <c r="J51" s="39" t="str">
        <f>'Input Data'!I54</f>
        <v>-</v>
      </c>
      <c r="K51" s="117">
        <f t="shared" si="5"/>
        <v>1</v>
      </c>
      <c r="L51" s="114" t="str">
        <f t="shared" si="3"/>
        <v>Tidak Tercapai</v>
      </c>
    </row>
    <row r="52" spans="1:12" x14ac:dyDescent="0.25">
      <c r="A52" s="123" t="str">
        <f t="shared" si="6"/>
        <v>Minggu ke-2</v>
      </c>
      <c r="B52" s="115" t="str">
        <f t="shared" si="6"/>
        <v>Selasa</v>
      </c>
      <c r="C52" s="116">
        <f t="shared" si="6"/>
        <v>43746</v>
      </c>
      <c r="D52" s="117">
        <f t="shared" si="4"/>
        <v>4</v>
      </c>
      <c r="E52" s="49" t="str">
        <f>'Input Data'!E55</f>
        <v>SD</v>
      </c>
      <c r="F52" s="49">
        <f>IFERROR(VLOOKUP(E52,'Input Data'!$K$15:$L$24,2,0),"")</f>
        <v>1</v>
      </c>
      <c r="G52" s="49">
        <f>'Input Data'!F55</f>
        <v>310</v>
      </c>
      <c r="H52" s="50">
        <f>'Input Data'!G55</f>
        <v>4401</v>
      </c>
      <c r="I52" s="50">
        <f>'Input Data'!H55</f>
        <v>0</v>
      </c>
      <c r="J52" s="39" t="str">
        <f>'Input Data'!I55</f>
        <v>-</v>
      </c>
      <c r="K52" s="117">
        <f t="shared" si="5"/>
        <v>1</v>
      </c>
      <c r="L52" s="114" t="str">
        <f t="shared" si="3"/>
        <v>Tidak Tercapai</v>
      </c>
    </row>
    <row r="53" spans="1:12" x14ac:dyDescent="0.25">
      <c r="A53" s="123" t="str">
        <f t="shared" si="6"/>
        <v>Minggu ke-2</v>
      </c>
      <c r="B53" s="115" t="str">
        <f t="shared" si="6"/>
        <v>Selasa</v>
      </c>
      <c r="C53" s="116">
        <f t="shared" si="6"/>
        <v>43746</v>
      </c>
      <c r="D53" s="117">
        <f t="shared" si="4"/>
        <v>4</v>
      </c>
      <c r="E53" s="49">
        <f>'Input Data'!E56</f>
        <v>0</v>
      </c>
      <c r="F53" s="49" t="str">
        <f>IFERROR(VLOOKUP(E53,'Input Data'!$K$15:$L$24,2,0),"")</f>
        <v/>
      </c>
      <c r="G53" s="49">
        <f>'Input Data'!F56</f>
        <v>0</v>
      </c>
      <c r="H53" s="50">
        <f>'Input Data'!G56</f>
        <v>0</v>
      </c>
      <c r="I53" s="50">
        <f>'Input Data'!H56</f>
        <v>0</v>
      </c>
      <c r="J53" s="39">
        <f>'Input Data'!I56</f>
        <v>0</v>
      </c>
      <c r="K53" s="117">
        <f t="shared" si="5"/>
        <v>1</v>
      </c>
      <c r="L53" s="114" t="str">
        <f t="shared" si="3"/>
        <v>Tidak Tercapai</v>
      </c>
    </row>
    <row r="54" spans="1:12" x14ac:dyDescent="0.25">
      <c r="A54" s="123" t="str">
        <f t="shared" si="6"/>
        <v>Minggu ke-2</v>
      </c>
      <c r="B54" s="115" t="str">
        <f t="shared" si="6"/>
        <v>Selasa</v>
      </c>
      <c r="C54" s="116">
        <f t="shared" si="6"/>
        <v>43746</v>
      </c>
      <c r="D54" s="117">
        <f t="shared" si="4"/>
        <v>4</v>
      </c>
      <c r="E54" s="49">
        <f>'Input Data'!E57</f>
        <v>0</v>
      </c>
      <c r="F54" s="49" t="str">
        <f>IFERROR(VLOOKUP(E54,'Input Data'!$K$15:$L$24,2,0),"")</f>
        <v/>
      </c>
      <c r="G54" s="49">
        <f>'Input Data'!F57</f>
        <v>0</v>
      </c>
      <c r="H54" s="50">
        <f>'Input Data'!G57</f>
        <v>0</v>
      </c>
      <c r="I54" s="50">
        <f>'Input Data'!H57</f>
        <v>0</v>
      </c>
      <c r="J54" s="39">
        <f>'Input Data'!I57</f>
        <v>0</v>
      </c>
      <c r="K54" s="117">
        <f t="shared" si="5"/>
        <v>1</v>
      </c>
      <c r="L54" s="114" t="str">
        <f t="shared" si="3"/>
        <v>Tidak Tercapai</v>
      </c>
    </row>
    <row r="55" spans="1:12" x14ac:dyDescent="0.25">
      <c r="A55" s="123" t="str">
        <f t="shared" si="6"/>
        <v>Minggu ke-2</v>
      </c>
      <c r="B55" s="115" t="str">
        <f>'Input Data'!B58</f>
        <v>Rabu</v>
      </c>
      <c r="C55" s="116">
        <f>'Input Data'!C58</f>
        <v>43747</v>
      </c>
      <c r="D55" s="117">
        <f>'Input Data'!D58</f>
        <v>3</v>
      </c>
      <c r="E55" s="49" t="str">
        <f>'Input Data'!E58</f>
        <v>PA</v>
      </c>
      <c r="F55" s="49">
        <f>IFERROR(VLOOKUP(E55,'Input Data'!$K$15:$L$24,2,0),"")</f>
        <v>3</v>
      </c>
      <c r="G55" s="49">
        <f>'Input Data'!F58</f>
        <v>279</v>
      </c>
      <c r="H55" s="50">
        <f>'Input Data'!G58</f>
        <v>4399</v>
      </c>
      <c r="I55" s="50">
        <f>'Input Data'!H58</f>
        <v>0</v>
      </c>
      <c r="J55" s="39" t="str">
        <f>'Input Data'!I58</f>
        <v>-</v>
      </c>
      <c r="K55" s="117">
        <f>SUM(I55:I60)</f>
        <v>1</v>
      </c>
      <c r="L55" s="114" t="str">
        <f>IF(K55&lt;=0,"Tercapai","Tidak Tercapai")</f>
        <v>Tidak Tercapai</v>
      </c>
    </row>
    <row r="56" spans="1:12" x14ac:dyDescent="0.25">
      <c r="A56" s="123" t="str">
        <f t="shared" si="6"/>
        <v>Minggu ke-2</v>
      </c>
      <c r="B56" s="115" t="str">
        <f>B55</f>
        <v>Rabu</v>
      </c>
      <c r="C56" s="116">
        <f>C55</f>
        <v>43747</v>
      </c>
      <c r="D56" s="117">
        <f t="shared" si="4"/>
        <v>3</v>
      </c>
      <c r="E56" s="49" t="str">
        <f>'Input Data'!E59</f>
        <v>SD</v>
      </c>
      <c r="F56" s="49">
        <f>IFERROR(VLOOKUP(E56,'Input Data'!$K$15:$L$24,2,0),"")</f>
        <v>1</v>
      </c>
      <c r="G56" s="49">
        <f>'Input Data'!F59</f>
        <v>206</v>
      </c>
      <c r="H56" s="50">
        <f>'Input Data'!G59</f>
        <v>4408</v>
      </c>
      <c r="I56" s="50">
        <f>'Input Data'!H59</f>
        <v>1</v>
      </c>
      <c r="J56" s="39">
        <f>'Input Data'!I59</f>
        <v>3</v>
      </c>
      <c r="K56" s="117">
        <f t="shared" si="5"/>
        <v>1</v>
      </c>
      <c r="L56" s="114" t="str">
        <f>L55</f>
        <v>Tidak Tercapai</v>
      </c>
    </row>
    <row r="57" spans="1:12" x14ac:dyDescent="0.25">
      <c r="A57" s="123" t="str">
        <f t="shared" si="6"/>
        <v>Minggu ke-2</v>
      </c>
      <c r="B57" s="115" t="str">
        <f t="shared" si="6"/>
        <v>Rabu</v>
      </c>
      <c r="C57" s="116">
        <f t="shared" si="6"/>
        <v>43747</v>
      </c>
      <c r="D57" s="117">
        <f t="shared" si="4"/>
        <v>3</v>
      </c>
      <c r="E57" s="49" t="str">
        <f>'Input Data'!E60</f>
        <v>MT</v>
      </c>
      <c r="F57" s="49">
        <f>IFERROR(VLOOKUP(E57,'Input Data'!$K$15:$L$24,2,0),"")</f>
        <v>5</v>
      </c>
      <c r="G57" s="49">
        <f>'Input Data'!F60</f>
        <v>279</v>
      </c>
      <c r="H57" s="50">
        <f>'Input Data'!G60</f>
        <v>4369</v>
      </c>
      <c r="I57" s="50">
        <f>'Input Data'!H60</f>
        <v>0</v>
      </c>
      <c r="J57" s="39" t="str">
        <f>'Input Data'!I60</f>
        <v>-</v>
      </c>
      <c r="K57" s="117">
        <f t="shared" si="5"/>
        <v>1</v>
      </c>
      <c r="L57" s="114" t="str">
        <f t="shared" si="3"/>
        <v>Tidak Tercapai</v>
      </c>
    </row>
    <row r="58" spans="1:12" x14ac:dyDescent="0.25">
      <c r="A58" s="123" t="str">
        <f t="shared" si="6"/>
        <v>Minggu ke-2</v>
      </c>
      <c r="B58" s="115" t="str">
        <f t="shared" si="6"/>
        <v>Rabu</v>
      </c>
      <c r="C58" s="116">
        <f t="shared" si="6"/>
        <v>43747</v>
      </c>
      <c r="D58" s="117">
        <f t="shared" si="4"/>
        <v>3</v>
      </c>
      <c r="E58" s="49">
        <f>'Input Data'!E61</f>
        <v>0</v>
      </c>
      <c r="F58" s="49" t="str">
        <f>IFERROR(VLOOKUP(E58,'Input Data'!$K$15:$L$24,2,0),"")</f>
        <v/>
      </c>
      <c r="G58" s="49">
        <f>'Input Data'!F61</f>
        <v>0</v>
      </c>
      <c r="H58" s="50">
        <f>'Input Data'!G61</f>
        <v>0</v>
      </c>
      <c r="I58" s="50">
        <f>'Input Data'!H61</f>
        <v>0</v>
      </c>
      <c r="J58" s="39">
        <f>'Input Data'!I61</f>
        <v>0</v>
      </c>
      <c r="K58" s="117">
        <f t="shared" si="5"/>
        <v>1</v>
      </c>
      <c r="L58" s="114" t="str">
        <f t="shared" si="3"/>
        <v>Tidak Tercapai</v>
      </c>
    </row>
    <row r="59" spans="1:12" x14ac:dyDescent="0.25">
      <c r="A59" s="123" t="str">
        <f t="shared" si="6"/>
        <v>Minggu ke-2</v>
      </c>
      <c r="B59" s="115" t="str">
        <f t="shared" si="6"/>
        <v>Rabu</v>
      </c>
      <c r="C59" s="116">
        <f t="shared" si="6"/>
        <v>43747</v>
      </c>
      <c r="D59" s="117">
        <f t="shared" si="4"/>
        <v>3</v>
      </c>
      <c r="E59" s="49">
        <f>'Input Data'!E62</f>
        <v>0</v>
      </c>
      <c r="F59" s="49" t="str">
        <f>IFERROR(VLOOKUP(E59,'Input Data'!$K$15:$L$24,2,0),"")</f>
        <v/>
      </c>
      <c r="G59" s="49">
        <f>'Input Data'!F62</f>
        <v>0</v>
      </c>
      <c r="H59" s="50">
        <f>'Input Data'!G62</f>
        <v>0</v>
      </c>
      <c r="I59" s="50">
        <f>'Input Data'!H62</f>
        <v>0</v>
      </c>
      <c r="J59" s="39">
        <f>'Input Data'!I62</f>
        <v>0</v>
      </c>
      <c r="K59" s="117">
        <f t="shared" si="5"/>
        <v>1</v>
      </c>
      <c r="L59" s="114" t="str">
        <f t="shared" si="3"/>
        <v>Tidak Tercapai</v>
      </c>
    </row>
    <row r="60" spans="1:12" x14ac:dyDescent="0.25">
      <c r="A60" s="123" t="str">
        <f t="shared" si="6"/>
        <v>Minggu ke-2</v>
      </c>
      <c r="B60" s="115" t="str">
        <f t="shared" si="6"/>
        <v>Rabu</v>
      </c>
      <c r="C60" s="116">
        <f t="shared" si="6"/>
        <v>43747</v>
      </c>
      <c r="D60" s="117">
        <f t="shared" si="4"/>
        <v>3</v>
      </c>
      <c r="E60" s="49">
        <f>'Input Data'!E63</f>
        <v>0</v>
      </c>
      <c r="F60" s="49" t="str">
        <f>IFERROR(VLOOKUP(E60,'Input Data'!$K$15:$L$24,2,0),"")</f>
        <v/>
      </c>
      <c r="G60" s="49">
        <f>'Input Data'!F63</f>
        <v>0</v>
      </c>
      <c r="H60" s="50">
        <f>'Input Data'!G63</f>
        <v>0</v>
      </c>
      <c r="I60" s="50">
        <f>'Input Data'!H63</f>
        <v>0</v>
      </c>
      <c r="J60" s="39">
        <f>'Input Data'!I63</f>
        <v>0</v>
      </c>
      <c r="K60" s="117">
        <f t="shared" si="5"/>
        <v>1</v>
      </c>
      <c r="L60" s="114" t="str">
        <f t="shared" si="3"/>
        <v>Tidak Tercapai</v>
      </c>
    </row>
    <row r="61" spans="1:12" x14ac:dyDescent="0.25">
      <c r="A61" s="123" t="str">
        <f t="shared" si="6"/>
        <v>Minggu ke-2</v>
      </c>
      <c r="B61" s="115" t="str">
        <f>'Input Data'!B64</f>
        <v>Kamis</v>
      </c>
      <c r="C61" s="116">
        <f>'Input Data'!C64</f>
        <v>43748</v>
      </c>
      <c r="D61" s="117">
        <f>'Input Data'!D64</f>
        <v>4</v>
      </c>
      <c r="E61" s="49" t="str">
        <f>'Input Data'!E64</f>
        <v>PA</v>
      </c>
      <c r="F61" s="49">
        <f>IFERROR(VLOOKUP(E61,'Input Data'!$K$15:$L$24,2,0),"")</f>
        <v>3</v>
      </c>
      <c r="G61" s="49">
        <f>'Input Data'!F64</f>
        <v>206</v>
      </c>
      <c r="H61" s="50">
        <f>'Input Data'!G64</f>
        <v>4403</v>
      </c>
      <c r="I61" s="50">
        <f>'Input Data'!H64</f>
        <v>0</v>
      </c>
      <c r="J61" s="39" t="str">
        <f>'Input Data'!I64</f>
        <v>-</v>
      </c>
      <c r="K61" s="117">
        <f>SUM(I61:I66)</f>
        <v>0</v>
      </c>
      <c r="L61" s="114" t="str">
        <f>IF(K61&lt;=0,"Tercapai","Tidak Tercapai")</f>
        <v>Tercapai</v>
      </c>
    </row>
    <row r="62" spans="1:12" x14ac:dyDescent="0.25">
      <c r="A62" s="123" t="str">
        <f t="shared" si="6"/>
        <v>Minggu ke-2</v>
      </c>
      <c r="B62" s="115" t="str">
        <f>B61</f>
        <v>Kamis</v>
      </c>
      <c r="C62" s="116">
        <f>C61</f>
        <v>43748</v>
      </c>
      <c r="D62" s="117">
        <f t="shared" si="4"/>
        <v>4</v>
      </c>
      <c r="E62" s="49" t="str">
        <f>'Input Data'!E65</f>
        <v>MT</v>
      </c>
      <c r="F62" s="49">
        <f>IFERROR(VLOOKUP(E62,'Input Data'!$K$15:$L$24,2,0),"")</f>
        <v>5</v>
      </c>
      <c r="G62" s="49">
        <f>'Input Data'!F65</f>
        <v>279</v>
      </c>
      <c r="H62" s="50">
        <f>'Input Data'!G65</f>
        <v>4372</v>
      </c>
      <c r="I62" s="50">
        <f>'Input Data'!H65</f>
        <v>0</v>
      </c>
      <c r="J62" s="39" t="str">
        <f>'Input Data'!I65</f>
        <v>-</v>
      </c>
      <c r="K62" s="117">
        <f t="shared" si="5"/>
        <v>0</v>
      </c>
      <c r="L62" s="114" t="str">
        <f>L61</f>
        <v>Tercapai</v>
      </c>
    </row>
    <row r="63" spans="1:12" x14ac:dyDescent="0.25">
      <c r="A63" s="123" t="str">
        <f t="shared" si="6"/>
        <v>Minggu ke-2</v>
      </c>
      <c r="B63" s="115" t="str">
        <f t="shared" si="6"/>
        <v>Kamis</v>
      </c>
      <c r="C63" s="116">
        <f t="shared" si="6"/>
        <v>43748</v>
      </c>
      <c r="D63" s="117">
        <f t="shared" si="4"/>
        <v>4</v>
      </c>
      <c r="E63" s="49" t="str">
        <f>'Input Data'!E66</f>
        <v>SD</v>
      </c>
      <c r="F63" s="49">
        <f>IFERROR(VLOOKUP(E63,'Input Data'!$K$15:$L$24,2,0),"")</f>
        <v>1</v>
      </c>
      <c r="G63" s="49">
        <f>'Input Data'!F66</f>
        <v>310</v>
      </c>
      <c r="H63" s="50">
        <f>'Input Data'!G66</f>
        <v>4411</v>
      </c>
      <c r="I63" s="50">
        <f>'Input Data'!H66</f>
        <v>0</v>
      </c>
      <c r="J63" s="39" t="str">
        <f>'Input Data'!I66</f>
        <v>-</v>
      </c>
      <c r="K63" s="117">
        <f t="shared" si="5"/>
        <v>0</v>
      </c>
      <c r="L63" s="114" t="str">
        <f t="shared" si="3"/>
        <v>Tercapai</v>
      </c>
    </row>
    <row r="64" spans="1:12" x14ac:dyDescent="0.25">
      <c r="A64" s="123" t="str">
        <f t="shared" si="6"/>
        <v>Minggu ke-2</v>
      </c>
      <c r="B64" s="115" t="str">
        <f t="shared" si="6"/>
        <v>Kamis</v>
      </c>
      <c r="C64" s="116">
        <f t="shared" si="6"/>
        <v>43748</v>
      </c>
      <c r="D64" s="117">
        <f t="shared" si="4"/>
        <v>4</v>
      </c>
      <c r="E64" s="49" t="str">
        <f>'Input Data'!E67</f>
        <v>SD</v>
      </c>
      <c r="F64" s="49">
        <f>IFERROR(VLOOKUP(E64,'Input Data'!$K$15:$L$24,2,0),"")</f>
        <v>1</v>
      </c>
      <c r="G64" s="49">
        <f>'Input Data'!F67</f>
        <v>206</v>
      </c>
      <c r="H64" s="50">
        <f>'Input Data'!G67</f>
        <v>4408</v>
      </c>
      <c r="I64" s="50">
        <f>'Input Data'!H67</f>
        <v>0</v>
      </c>
      <c r="J64" s="39" t="str">
        <f>'Input Data'!I67</f>
        <v>-</v>
      </c>
      <c r="K64" s="117">
        <f t="shared" si="5"/>
        <v>0</v>
      </c>
      <c r="L64" s="114" t="str">
        <f t="shared" si="3"/>
        <v>Tercapai</v>
      </c>
    </row>
    <row r="65" spans="1:12" x14ac:dyDescent="0.25">
      <c r="A65" s="123" t="str">
        <f t="shared" si="6"/>
        <v>Minggu ke-2</v>
      </c>
      <c r="B65" s="115" t="str">
        <f t="shared" si="6"/>
        <v>Kamis</v>
      </c>
      <c r="C65" s="116">
        <f t="shared" si="6"/>
        <v>43748</v>
      </c>
      <c r="D65" s="117">
        <f t="shared" si="4"/>
        <v>4</v>
      </c>
      <c r="E65" s="49">
        <f>'Input Data'!E68</f>
        <v>0</v>
      </c>
      <c r="F65" s="49" t="str">
        <f>IFERROR(VLOOKUP(E65,'Input Data'!$K$15:$L$24,2,0),"")</f>
        <v/>
      </c>
      <c r="G65" s="49">
        <f>'Input Data'!F68</f>
        <v>0</v>
      </c>
      <c r="H65" s="50">
        <f>'Input Data'!G68</f>
        <v>0</v>
      </c>
      <c r="I65" s="50">
        <f>'Input Data'!H68</f>
        <v>0</v>
      </c>
      <c r="J65" s="39">
        <f>'Input Data'!I68</f>
        <v>0</v>
      </c>
      <c r="K65" s="117">
        <f t="shared" si="5"/>
        <v>0</v>
      </c>
      <c r="L65" s="114" t="str">
        <f t="shared" si="3"/>
        <v>Tercapai</v>
      </c>
    </row>
    <row r="66" spans="1:12" x14ac:dyDescent="0.25">
      <c r="A66" s="123" t="str">
        <f t="shared" si="6"/>
        <v>Minggu ke-2</v>
      </c>
      <c r="B66" s="115" t="str">
        <f t="shared" si="6"/>
        <v>Kamis</v>
      </c>
      <c r="C66" s="116">
        <f t="shared" si="6"/>
        <v>43748</v>
      </c>
      <c r="D66" s="117">
        <f t="shared" si="4"/>
        <v>4</v>
      </c>
      <c r="E66" s="49">
        <f>'Input Data'!E69</f>
        <v>0</v>
      </c>
      <c r="F66" s="49" t="str">
        <f>IFERROR(VLOOKUP(E66,'Input Data'!$K$15:$L$24,2,0),"")</f>
        <v/>
      </c>
      <c r="G66" s="49">
        <f>'Input Data'!F69</f>
        <v>0</v>
      </c>
      <c r="H66" s="50">
        <f>'Input Data'!G69</f>
        <v>0</v>
      </c>
      <c r="I66" s="50">
        <f>'Input Data'!H69</f>
        <v>0</v>
      </c>
      <c r="J66" s="39">
        <f>'Input Data'!I69</f>
        <v>0</v>
      </c>
      <c r="K66" s="117">
        <f t="shared" si="5"/>
        <v>0</v>
      </c>
      <c r="L66" s="114" t="str">
        <f t="shared" si="3"/>
        <v>Tercapai</v>
      </c>
    </row>
    <row r="67" spans="1:12" x14ac:dyDescent="0.25">
      <c r="A67" s="123" t="str">
        <f t="shared" si="6"/>
        <v>Minggu ke-2</v>
      </c>
      <c r="B67" s="115" t="str">
        <f>'Input Data'!B70</f>
        <v>Jum'at</v>
      </c>
      <c r="C67" s="116">
        <f>'Input Data'!C70</f>
        <v>43749</v>
      </c>
      <c r="D67" s="117">
        <f>'Input Data'!D70</f>
        <v>4</v>
      </c>
      <c r="E67" s="49" t="str">
        <f>'Input Data'!E70</f>
        <v>PA</v>
      </c>
      <c r="F67" s="49">
        <f>IFERROR(VLOOKUP(E67,'Input Data'!$K$15:$L$24,2,0),"")</f>
        <v>3</v>
      </c>
      <c r="G67" s="49">
        <f>'Input Data'!F70</f>
        <v>306</v>
      </c>
      <c r="H67" s="50">
        <f>'Input Data'!G70</f>
        <v>4404</v>
      </c>
      <c r="I67" s="50">
        <f>'Input Data'!H70</f>
        <v>0</v>
      </c>
      <c r="J67" s="39" t="str">
        <f>'Input Data'!I70</f>
        <v>-</v>
      </c>
      <c r="K67" s="117">
        <f>SUM(I67:I72)</f>
        <v>0</v>
      </c>
      <c r="L67" s="114" t="str">
        <f>IF(K67&lt;=0,"Tercapai","Tidak Tercapai")</f>
        <v>Tercapai</v>
      </c>
    </row>
    <row r="68" spans="1:12" x14ac:dyDescent="0.25">
      <c r="A68" s="123" t="str">
        <f t="shared" si="6"/>
        <v>Minggu ke-2</v>
      </c>
      <c r="B68" s="115" t="str">
        <f>B67</f>
        <v>Jum'at</v>
      </c>
      <c r="C68" s="116">
        <f>C67</f>
        <v>43749</v>
      </c>
      <c r="D68" s="117">
        <f t="shared" si="4"/>
        <v>4</v>
      </c>
      <c r="E68" s="49" t="str">
        <f>'Input Data'!E71</f>
        <v>SD</v>
      </c>
      <c r="F68" s="49">
        <f>IFERROR(VLOOKUP(E68,'Input Data'!$K$15:$L$24,2,0),"")</f>
        <v>1</v>
      </c>
      <c r="G68" s="49">
        <f>'Input Data'!F71</f>
        <v>310</v>
      </c>
      <c r="H68" s="50">
        <f>'Input Data'!G71</f>
        <v>4415</v>
      </c>
      <c r="I68" s="50">
        <f>'Input Data'!H71</f>
        <v>0</v>
      </c>
      <c r="J68" s="39" t="str">
        <f>'Input Data'!I71</f>
        <v>-</v>
      </c>
      <c r="K68" s="117">
        <f t="shared" si="5"/>
        <v>0</v>
      </c>
      <c r="L68" s="114" t="str">
        <f>L67</f>
        <v>Tercapai</v>
      </c>
    </row>
    <row r="69" spans="1:12" x14ac:dyDescent="0.25">
      <c r="A69" s="123" t="str">
        <f t="shared" si="6"/>
        <v>Minggu ke-2</v>
      </c>
      <c r="B69" s="115" t="str">
        <f t="shared" si="6"/>
        <v>Jum'at</v>
      </c>
      <c r="C69" s="116">
        <f t="shared" si="6"/>
        <v>43749</v>
      </c>
      <c r="D69" s="117">
        <f t="shared" si="4"/>
        <v>4</v>
      </c>
      <c r="E69" s="49" t="str">
        <f>'Input Data'!E72</f>
        <v>HN</v>
      </c>
      <c r="F69" s="49">
        <f>IFERROR(VLOOKUP(E69,'Input Data'!$K$15:$L$24,2,0),"")</f>
        <v>7</v>
      </c>
      <c r="G69" s="49">
        <f>'Input Data'!F72</f>
        <v>293</v>
      </c>
      <c r="H69" s="50">
        <f>'Input Data'!G72</f>
        <v>4362</v>
      </c>
      <c r="I69" s="50">
        <f>'Input Data'!H72</f>
        <v>0</v>
      </c>
      <c r="J69" s="39" t="str">
        <f>'Input Data'!I72</f>
        <v>-</v>
      </c>
      <c r="K69" s="117">
        <f t="shared" si="5"/>
        <v>0</v>
      </c>
      <c r="L69" s="114" t="str">
        <f t="shared" si="3"/>
        <v>Tercapai</v>
      </c>
    </row>
    <row r="70" spans="1:12" x14ac:dyDescent="0.25">
      <c r="A70" s="123" t="str">
        <f t="shared" si="6"/>
        <v>Minggu ke-2</v>
      </c>
      <c r="B70" s="115" t="str">
        <f t="shared" si="6"/>
        <v>Jum'at</v>
      </c>
      <c r="C70" s="116">
        <f t="shared" si="6"/>
        <v>43749</v>
      </c>
      <c r="D70" s="117">
        <f t="shared" si="4"/>
        <v>4</v>
      </c>
      <c r="E70" s="49" t="str">
        <f>'Input Data'!E73</f>
        <v>AJ</v>
      </c>
      <c r="F70" s="49">
        <f>IFERROR(VLOOKUP(E70,'Input Data'!$K$15:$L$24,2,0),"")</f>
        <v>2</v>
      </c>
      <c r="G70" s="49">
        <f>'Input Data'!F73</f>
        <v>301</v>
      </c>
      <c r="H70" s="50">
        <f>'Input Data'!G73</f>
        <v>4361</v>
      </c>
      <c r="I70" s="50">
        <f>'Input Data'!H73</f>
        <v>0</v>
      </c>
      <c r="J70" s="39" t="str">
        <f>'Input Data'!I73</f>
        <v>-</v>
      </c>
      <c r="K70" s="117">
        <f t="shared" si="5"/>
        <v>0</v>
      </c>
      <c r="L70" s="114" t="str">
        <f t="shared" si="3"/>
        <v>Tercapai</v>
      </c>
    </row>
    <row r="71" spans="1:12" x14ac:dyDescent="0.25">
      <c r="A71" s="123" t="str">
        <f t="shared" si="6"/>
        <v>Minggu ke-2</v>
      </c>
      <c r="B71" s="115" t="str">
        <f t="shared" si="6"/>
        <v>Jum'at</v>
      </c>
      <c r="C71" s="116">
        <f t="shared" si="6"/>
        <v>43749</v>
      </c>
      <c r="D71" s="117">
        <f t="shared" si="4"/>
        <v>4</v>
      </c>
      <c r="E71" s="49">
        <f>'Input Data'!E74</f>
        <v>0</v>
      </c>
      <c r="F71" s="49" t="str">
        <f>IFERROR(VLOOKUP(E71,'Input Data'!$K$15:$L$24,2,0),"")</f>
        <v/>
      </c>
      <c r="G71" s="49">
        <f>'Input Data'!F74</f>
        <v>0</v>
      </c>
      <c r="H71" s="50">
        <f>'Input Data'!G74</f>
        <v>0</v>
      </c>
      <c r="I71" s="50">
        <f>'Input Data'!H74</f>
        <v>0</v>
      </c>
      <c r="J71" s="39">
        <f>'Input Data'!I74</f>
        <v>0</v>
      </c>
      <c r="K71" s="117">
        <f t="shared" si="5"/>
        <v>0</v>
      </c>
      <c r="L71" s="114" t="str">
        <f t="shared" si="3"/>
        <v>Tercapai</v>
      </c>
    </row>
    <row r="72" spans="1:12" x14ac:dyDescent="0.25">
      <c r="A72" s="123" t="str">
        <f t="shared" si="6"/>
        <v>Minggu ke-2</v>
      </c>
      <c r="B72" s="115" t="str">
        <f t="shared" si="6"/>
        <v>Jum'at</v>
      </c>
      <c r="C72" s="116">
        <f t="shared" si="6"/>
        <v>43749</v>
      </c>
      <c r="D72" s="117">
        <f t="shared" si="4"/>
        <v>4</v>
      </c>
      <c r="E72" s="49">
        <f>'Input Data'!E75</f>
        <v>0</v>
      </c>
      <c r="F72" s="49" t="str">
        <f>IFERROR(VLOOKUP(E72,'Input Data'!$K$15:$L$24,2,0),"")</f>
        <v/>
      </c>
      <c r="G72" s="49">
        <f>'Input Data'!F75</f>
        <v>0</v>
      </c>
      <c r="H72" s="50">
        <f>'Input Data'!G75</f>
        <v>0</v>
      </c>
      <c r="I72" s="50">
        <f>'Input Data'!H75</f>
        <v>0</v>
      </c>
      <c r="J72" s="39">
        <f>'Input Data'!I75</f>
        <v>0</v>
      </c>
      <c r="K72" s="117">
        <f t="shared" si="5"/>
        <v>0</v>
      </c>
      <c r="L72" s="114" t="str">
        <f t="shared" si="3"/>
        <v>Tercapai</v>
      </c>
    </row>
    <row r="73" spans="1:12" x14ac:dyDescent="0.25">
      <c r="A73" s="123" t="str">
        <f t="shared" si="6"/>
        <v>Minggu ke-2</v>
      </c>
      <c r="B73" s="115" t="str">
        <f>'Input Data'!B76</f>
        <v>Sabtu</v>
      </c>
      <c r="C73" s="116">
        <f>'Input Data'!C76</f>
        <v>43750</v>
      </c>
      <c r="D73" s="117">
        <f>'Input Data'!D76</f>
        <v>2</v>
      </c>
      <c r="E73" s="49" t="str">
        <f>'Input Data'!E76</f>
        <v>AJ</v>
      </c>
      <c r="F73" s="49">
        <f>IFERROR(VLOOKUP(E73,'Input Data'!$K$15:$L$24,2,0),"")</f>
        <v>2</v>
      </c>
      <c r="G73" s="49">
        <f>'Input Data'!F76</f>
        <v>191</v>
      </c>
      <c r="H73" s="50">
        <f>'Input Data'!G76</f>
        <v>4418</v>
      </c>
      <c r="I73" s="50">
        <f>'Input Data'!H76</f>
        <v>0</v>
      </c>
      <c r="J73" s="39" t="str">
        <f>'Input Data'!I76</f>
        <v>-</v>
      </c>
      <c r="K73" s="117">
        <f>SUM(I73:I78)</f>
        <v>1</v>
      </c>
      <c r="L73" s="114" t="str">
        <f>IF(K73&lt;=0,"Tercapai","Tidak Tercapai")</f>
        <v>Tidak Tercapai</v>
      </c>
    </row>
    <row r="74" spans="1:12" x14ac:dyDescent="0.25">
      <c r="A74" s="123" t="str">
        <f t="shared" si="6"/>
        <v>Minggu ke-2</v>
      </c>
      <c r="B74" s="115" t="str">
        <f>B73</f>
        <v>Sabtu</v>
      </c>
      <c r="C74" s="116">
        <f>C73</f>
        <v>43750</v>
      </c>
      <c r="D74" s="117">
        <f t="shared" si="4"/>
        <v>2</v>
      </c>
      <c r="E74" s="49" t="str">
        <f>'Input Data'!E77</f>
        <v>HN</v>
      </c>
      <c r="F74" s="49">
        <f>IFERROR(VLOOKUP(E74,'Input Data'!$K$15:$L$24,2,0),"")</f>
        <v>7</v>
      </c>
      <c r="G74" s="49">
        <f>'Input Data'!F77</f>
        <v>313</v>
      </c>
      <c r="H74" s="50">
        <f>'Input Data'!G77</f>
        <v>4406</v>
      </c>
      <c r="I74" s="50">
        <f>'Input Data'!H77</f>
        <v>1</v>
      </c>
      <c r="J74" s="39">
        <f>'Input Data'!I77</f>
        <v>4</v>
      </c>
      <c r="K74" s="117">
        <f t="shared" si="5"/>
        <v>1</v>
      </c>
      <c r="L74" s="114" t="str">
        <f>L73</f>
        <v>Tidak Tercapai</v>
      </c>
    </row>
    <row r="75" spans="1:12" x14ac:dyDescent="0.25">
      <c r="A75" s="123" t="str">
        <f t="shared" si="6"/>
        <v>Minggu ke-2</v>
      </c>
      <c r="B75" s="115" t="str">
        <f t="shared" si="6"/>
        <v>Sabtu</v>
      </c>
      <c r="C75" s="116">
        <f t="shared" si="6"/>
        <v>43750</v>
      </c>
      <c r="D75" s="117">
        <f t="shared" si="4"/>
        <v>2</v>
      </c>
      <c r="E75" s="49">
        <f>'Input Data'!E78</f>
        <v>0</v>
      </c>
      <c r="F75" s="49" t="str">
        <f>IFERROR(VLOOKUP(E75,'Input Data'!$K$15:$L$24,2,0),"")</f>
        <v/>
      </c>
      <c r="G75" s="49">
        <f>'Input Data'!F78</f>
        <v>0</v>
      </c>
      <c r="H75" s="50">
        <f>'Input Data'!G78</f>
        <v>0</v>
      </c>
      <c r="I75" s="50">
        <f>'Input Data'!H78</f>
        <v>0</v>
      </c>
      <c r="J75" s="39">
        <f>'Input Data'!I78</f>
        <v>0</v>
      </c>
      <c r="K75" s="117">
        <f t="shared" si="5"/>
        <v>1</v>
      </c>
      <c r="L75" s="114" t="str">
        <f t="shared" si="3"/>
        <v>Tidak Tercapai</v>
      </c>
    </row>
    <row r="76" spans="1:12" x14ac:dyDescent="0.25">
      <c r="A76" s="123" t="str">
        <f t="shared" si="6"/>
        <v>Minggu ke-2</v>
      </c>
      <c r="B76" s="115" t="str">
        <f t="shared" si="6"/>
        <v>Sabtu</v>
      </c>
      <c r="C76" s="116">
        <f t="shared" si="6"/>
        <v>43750</v>
      </c>
      <c r="D76" s="117">
        <f t="shared" si="4"/>
        <v>2</v>
      </c>
      <c r="E76" s="49">
        <f>'Input Data'!E79</f>
        <v>0</v>
      </c>
      <c r="F76" s="49" t="str">
        <f>IFERROR(VLOOKUP(E76,'Input Data'!$K$15:$L$24,2,0),"")</f>
        <v/>
      </c>
      <c r="G76" s="49">
        <f>'Input Data'!F79</f>
        <v>0</v>
      </c>
      <c r="H76" s="50">
        <f>'Input Data'!G79</f>
        <v>0</v>
      </c>
      <c r="I76" s="50">
        <f>'Input Data'!H79</f>
        <v>0</v>
      </c>
      <c r="J76" s="39">
        <f>'Input Data'!I79</f>
        <v>0</v>
      </c>
      <c r="K76" s="117">
        <f t="shared" si="5"/>
        <v>1</v>
      </c>
      <c r="L76" s="114" t="str">
        <f t="shared" si="3"/>
        <v>Tidak Tercapai</v>
      </c>
    </row>
    <row r="77" spans="1:12" x14ac:dyDescent="0.25">
      <c r="A77" s="123" t="str">
        <f t="shared" si="6"/>
        <v>Minggu ke-2</v>
      </c>
      <c r="B77" s="115" t="str">
        <f t="shared" si="6"/>
        <v>Sabtu</v>
      </c>
      <c r="C77" s="116">
        <f t="shared" si="6"/>
        <v>43750</v>
      </c>
      <c r="D77" s="117">
        <f t="shared" si="4"/>
        <v>2</v>
      </c>
      <c r="E77" s="49">
        <f>'Input Data'!E80</f>
        <v>0</v>
      </c>
      <c r="F77" s="49" t="str">
        <f>IFERROR(VLOOKUP(E77,'Input Data'!$K$15:$L$24,2,0),"")</f>
        <v/>
      </c>
      <c r="G77" s="49">
        <f>'Input Data'!F80</f>
        <v>0</v>
      </c>
      <c r="H77" s="50">
        <f>'Input Data'!G80</f>
        <v>0</v>
      </c>
      <c r="I77" s="50">
        <f>'Input Data'!H80</f>
        <v>0</v>
      </c>
      <c r="J77" s="39">
        <f>'Input Data'!I80</f>
        <v>0</v>
      </c>
      <c r="K77" s="117">
        <f t="shared" si="5"/>
        <v>1</v>
      </c>
      <c r="L77" s="114" t="str">
        <f t="shared" si="3"/>
        <v>Tidak Tercapai</v>
      </c>
    </row>
    <row r="78" spans="1:12" ht="15.75" thickBot="1" x14ac:dyDescent="0.3">
      <c r="A78" s="124" t="str">
        <f t="shared" si="6"/>
        <v>Minggu ke-2</v>
      </c>
      <c r="B78" s="126" t="str">
        <f t="shared" si="6"/>
        <v>Sabtu</v>
      </c>
      <c r="C78" s="129">
        <f t="shared" si="6"/>
        <v>43750</v>
      </c>
      <c r="D78" s="130">
        <f t="shared" si="4"/>
        <v>2</v>
      </c>
      <c r="E78" s="51">
        <f>'Input Data'!E81</f>
        <v>0</v>
      </c>
      <c r="F78" s="51" t="str">
        <f>IFERROR(VLOOKUP(E78,'Input Data'!$K$15:$L$24,2,0),"")</f>
        <v/>
      </c>
      <c r="G78" s="51">
        <f>'Input Data'!F81</f>
        <v>0</v>
      </c>
      <c r="H78" s="34">
        <f>'Input Data'!G81</f>
        <v>0</v>
      </c>
      <c r="I78" s="34">
        <f>'Input Data'!H81</f>
        <v>0</v>
      </c>
      <c r="J78" s="56">
        <f>'Input Data'!I81</f>
        <v>0</v>
      </c>
      <c r="K78" s="130">
        <f t="shared" si="5"/>
        <v>1</v>
      </c>
      <c r="L78" s="118" t="str">
        <f t="shared" si="5"/>
        <v>Tidak Tercapai</v>
      </c>
    </row>
    <row r="79" spans="1:12" x14ac:dyDescent="0.25">
      <c r="A79" s="122" t="s">
        <v>35</v>
      </c>
      <c r="B79" s="125" t="str">
        <f>'Input Data'!B84</f>
        <v>Senin</v>
      </c>
      <c r="C79" s="127">
        <f>'Input Data'!C84</f>
        <v>43752</v>
      </c>
      <c r="D79" s="128">
        <f>'Input Data'!D84</f>
        <v>4</v>
      </c>
      <c r="E79" s="81" t="str">
        <f>'Input Data'!E84</f>
        <v>PA</v>
      </c>
      <c r="F79" s="81">
        <f>IFERROR(VLOOKUP(E79,'Input Data'!$K$15:$L$24,2,0),"")</f>
        <v>3</v>
      </c>
      <c r="G79" s="81">
        <f>'Input Data'!F84</f>
        <v>234</v>
      </c>
      <c r="H79" s="82">
        <f>'Input Data'!G84</f>
        <v>4246</v>
      </c>
      <c r="I79" s="82">
        <f>'Input Data'!H84</f>
        <v>0</v>
      </c>
      <c r="J79" s="83" t="str">
        <f>'Input Data'!I84</f>
        <v>-</v>
      </c>
      <c r="K79" s="128">
        <f>SUM(I79:I84)</f>
        <v>0</v>
      </c>
      <c r="L79" s="121" t="str">
        <f>IF(K79&lt;=0,"Tercapai","Tidak Tercapai")</f>
        <v>Tercapai</v>
      </c>
    </row>
    <row r="80" spans="1:12" x14ac:dyDescent="0.25">
      <c r="A80" s="123" t="str">
        <f>A79</f>
        <v>Minggu ke-3</v>
      </c>
      <c r="B80" s="115" t="str">
        <f>B79</f>
        <v>Senin</v>
      </c>
      <c r="C80" s="116"/>
      <c r="D80" s="117">
        <f t="shared" si="4"/>
        <v>4</v>
      </c>
      <c r="E80" s="49" t="str">
        <f>'Input Data'!E85</f>
        <v>HN</v>
      </c>
      <c r="F80" s="49">
        <f>IFERROR(VLOOKUP(E80,'Input Data'!$K$15:$L$24,2,0),"")</f>
        <v>7</v>
      </c>
      <c r="G80" s="49">
        <f>'Input Data'!F85</f>
        <v>293</v>
      </c>
      <c r="H80" s="50">
        <f>'Input Data'!G85</f>
        <v>4359</v>
      </c>
      <c r="I80" s="50">
        <f>'Input Data'!H85</f>
        <v>0</v>
      </c>
      <c r="J80" s="39" t="str">
        <f>'Input Data'!I85</f>
        <v>-</v>
      </c>
      <c r="K80" s="117">
        <f t="shared" si="5"/>
        <v>0</v>
      </c>
      <c r="L80" s="114" t="str">
        <f>L79</f>
        <v>Tercapai</v>
      </c>
    </row>
    <row r="81" spans="1:12" x14ac:dyDescent="0.25">
      <c r="A81" s="123" t="str">
        <f t="shared" ref="A81:B114" si="7">A80</f>
        <v>Minggu ke-3</v>
      </c>
      <c r="B81" s="115" t="str">
        <f t="shared" si="7"/>
        <v>Senin</v>
      </c>
      <c r="C81" s="116"/>
      <c r="D81" s="117">
        <f t="shared" si="4"/>
        <v>4</v>
      </c>
      <c r="E81" s="49" t="str">
        <f>'Input Data'!E86</f>
        <v>AJ</v>
      </c>
      <c r="F81" s="49">
        <f>IFERROR(VLOOKUP(E81,'Input Data'!$K$15:$L$24,2,0),"")</f>
        <v>2</v>
      </c>
      <c r="G81" s="49">
        <f>'Input Data'!F86</f>
        <v>191</v>
      </c>
      <c r="H81" s="50">
        <f>'Input Data'!G86</f>
        <v>4418</v>
      </c>
      <c r="I81" s="50">
        <f>'Input Data'!H86</f>
        <v>0</v>
      </c>
      <c r="J81" s="39" t="str">
        <f>'Input Data'!I86</f>
        <v>-</v>
      </c>
      <c r="K81" s="117">
        <f t="shared" si="5"/>
        <v>0</v>
      </c>
      <c r="L81" s="114" t="str">
        <f t="shared" si="5"/>
        <v>Tercapai</v>
      </c>
    </row>
    <row r="82" spans="1:12" x14ac:dyDescent="0.25">
      <c r="A82" s="123" t="str">
        <f t="shared" si="7"/>
        <v>Minggu ke-3</v>
      </c>
      <c r="B82" s="115" t="str">
        <f t="shared" si="7"/>
        <v>Senin</v>
      </c>
      <c r="C82" s="116"/>
      <c r="D82" s="117">
        <f t="shared" si="4"/>
        <v>4</v>
      </c>
      <c r="E82" s="49" t="str">
        <f>'Input Data'!E87</f>
        <v>PA</v>
      </c>
      <c r="F82" s="49">
        <f>IFERROR(VLOOKUP(E82,'Input Data'!$K$15:$L$24,2,0),"")</f>
        <v>3</v>
      </c>
      <c r="G82" s="49">
        <f>'Input Data'!F87</f>
        <v>187</v>
      </c>
      <c r="H82" s="50">
        <f>'Input Data'!G87</f>
        <v>4266</v>
      </c>
      <c r="I82" s="50">
        <f>'Input Data'!H87</f>
        <v>0</v>
      </c>
      <c r="J82" s="39" t="str">
        <f>'Input Data'!I87</f>
        <v>-</v>
      </c>
      <c r="K82" s="117">
        <f t="shared" si="5"/>
        <v>0</v>
      </c>
      <c r="L82" s="114" t="str">
        <f t="shared" si="5"/>
        <v>Tercapai</v>
      </c>
    </row>
    <row r="83" spans="1:12" x14ac:dyDescent="0.25">
      <c r="A83" s="123" t="str">
        <f t="shared" si="7"/>
        <v>Minggu ke-3</v>
      </c>
      <c r="B83" s="115" t="str">
        <f t="shared" si="7"/>
        <v>Senin</v>
      </c>
      <c r="C83" s="116"/>
      <c r="D83" s="117">
        <f t="shared" si="4"/>
        <v>4</v>
      </c>
      <c r="E83" s="49">
        <f>'Input Data'!E88</f>
        <v>0</v>
      </c>
      <c r="F83" s="49" t="str">
        <f>IFERROR(VLOOKUP(E83,'Input Data'!$K$15:$L$24,2,0),"")</f>
        <v/>
      </c>
      <c r="G83" s="49">
        <f>'Input Data'!F88</f>
        <v>0</v>
      </c>
      <c r="H83" s="50">
        <f>'Input Data'!G88</f>
        <v>0</v>
      </c>
      <c r="I83" s="50">
        <f>'Input Data'!H88</f>
        <v>0</v>
      </c>
      <c r="J83" s="39">
        <f>'Input Data'!I88</f>
        <v>0</v>
      </c>
      <c r="K83" s="117">
        <f t="shared" si="5"/>
        <v>0</v>
      </c>
      <c r="L83" s="114" t="str">
        <f t="shared" si="5"/>
        <v>Tercapai</v>
      </c>
    </row>
    <row r="84" spans="1:12" x14ac:dyDescent="0.25">
      <c r="A84" s="123" t="str">
        <f t="shared" si="7"/>
        <v>Minggu ke-3</v>
      </c>
      <c r="B84" s="115" t="str">
        <f t="shared" si="7"/>
        <v>Senin</v>
      </c>
      <c r="C84" s="116"/>
      <c r="D84" s="117">
        <f t="shared" si="4"/>
        <v>4</v>
      </c>
      <c r="E84" s="49">
        <f>'Input Data'!E89</f>
        <v>0</v>
      </c>
      <c r="F84" s="49" t="str">
        <f>IFERROR(VLOOKUP(E84,'Input Data'!$K$15:$L$24,2,0),"")</f>
        <v/>
      </c>
      <c r="G84" s="49">
        <f>'Input Data'!F89</f>
        <v>0</v>
      </c>
      <c r="H84" s="50">
        <f>'Input Data'!G89</f>
        <v>0</v>
      </c>
      <c r="I84" s="50">
        <f>'Input Data'!H89</f>
        <v>0</v>
      </c>
      <c r="J84" s="39">
        <f>'Input Data'!I89</f>
        <v>0</v>
      </c>
      <c r="K84" s="117">
        <f t="shared" si="5"/>
        <v>0</v>
      </c>
      <c r="L84" s="114" t="str">
        <f t="shared" si="5"/>
        <v>Tercapai</v>
      </c>
    </row>
    <row r="85" spans="1:12" x14ac:dyDescent="0.25">
      <c r="A85" s="123" t="str">
        <f t="shared" si="7"/>
        <v>Minggu ke-3</v>
      </c>
      <c r="B85" s="115" t="str">
        <f>'Input Data'!B90</f>
        <v>Selasa</v>
      </c>
      <c r="C85" s="116">
        <f>'Input Data'!C90</f>
        <v>43753</v>
      </c>
      <c r="D85" s="117">
        <f>'Input Data'!D90</f>
        <v>3</v>
      </c>
      <c r="E85" s="49" t="str">
        <f>'Input Data'!E90</f>
        <v>AJ</v>
      </c>
      <c r="F85" s="49">
        <f>IFERROR(VLOOKUP(E85,'Input Data'!$K$15:$L$24,2,0),"")</f>
        <v>2</v>
      </c>
      <c r="G85" s="49">
        <f>'Input Data'!F90</f>
        <v>242</v>
      </c>
      <c r="H85" s="50">
        <f>'Input Data'!G90</f>
        <v>4347</v>
      </c>
      <c r="I85" s="50">
        <f>'Input Data'!H90</f>
        <v>0</v>
      </c>
      <c r="J85" s="39" t="str">
        <f>'Input Data'!I90</f>
        <v>-</v>
      </c>
      <c r="K85" s="117">
        <f>SUM(I85:I90)</f>
        <v>0</v>
      </c>
      <c r="L85" s="114" t="str">
        <f>IF(K85&lt;=0,"Tercapai","Tidak Tercapai")</f>
        <v>Tercapai</v>
      </c>
    </row>
    <row r="86" spans="1:12" x14ac:dyDescent="0.25">
      <c r="A86" s="123" t="str">
        <f t="shared" si="7"/>
        <v>Minggu ke-3</v>
      </c>
      <c r="B86" s="115" t="str">
        <f>B85</f>
        <v>Selasa</v>
      </c>
      <c r="C86" s="116"/>
      <c r="D86" s="117">
        <f t="shared" si="4"/>
        <v>3</v>
      </c>
      <c r="E86" s="49" t="str">
        <f>'Input Data'!E91</f>
        <v>SD</v>
      </c>
      <c r="F86" s="49">
        <f>IFERROR(VLOOKUP(E86,'Input Data'!$K$15:$L$24,2,0),"")</f>
        <v>1</v>
      </c>
      <c r="G86" s="49">
        <f>'Input Data'!F91</f>
        <v>185</v>
      </c>
      <c r="H86" s="50">
        <f>'Input Data'!G91</f>
        <v>4160</v>
      </c>
      <c r="I86" s="50">
        <f>'Input Data'!H91</f>
        <v>0</v>
      </c>
      <c r="J86" s="39" t="str">
        <f>'Input Data'!I91</f>
        <v>-</v>
      </c>
      <c r="K86" s="117">
        <f t="shared" si="5"/>
        <v>0</v>
      </c>
      <c r="L86" s="114" t="str">
        <f>L85</f>
        <v>Tercapai</v>
      </c>
    </row>
    <row r="87" spans="1:12" x14ac:dyDescent="0.25">
      <c r="A87" s="123" t="str">
        <f t="shared" si="7"/>
        <v>Minggu ke-3</v>
      </c>
      <c r="B87" s="115" t="str">
        <f t="shared" si="7"/>
        <v>Selasa</v>
      </c>
      <c r="C87" s="116"/>
      <c r="D87" s="117">
        <f t="shared" si="4"/>
        <v>3</v>
      </c>
      <c r="E87" s="49" t="str">
        <f>'Input Data'!E92</f>
        <v>PA</v>
      </c>
      <c r="F87" s="49">
        <f>IFERROR(VLOOKUP(E87,'Input Data'!$K$15:$L$24,2,0),"")</f>
        <v>3</v>
      </c>
      <c r="G87" s="49">
        <f>'Input Data'!F92</f>
        <v>234</v>
      </c>
      <c r="H87" s="50">
        <f>'Input Data'!G92</f>
        <v>4244</v>
      </c>
      <c r="I87" s="50">
        <f>'Input Data'!H92</f>
        <v>0</v>
      </c>
      <c r="J87" s="39" t="str">
        <f>'Input Data'!I92</f>
        <v>-</v>
      </c>
      <c r="K87" s="117">
        <f t="shared" si="5"/>
        <v>0</v>
      </c>
      <c r="L87" s="114" t="str">
        <f t="shared" si="5"/>
        <v>Tercapai</v>
      </c>
    </row>
    <row r="88" spans="1:12" x14ac:dyDescent="0.25">
      <c r="A88" s="123" t="str">
        <f t="shared" si="7"/>
        <v>Minggu ke-3</v>
      </c>
      <c r="B88" s="115" t="str">
        <f t="shared" si="7"/>
        <v>Selasa</v>
      </c>
      <c r="C88" s="116"/>
      <c r="D88" s="117">
        <f t="shared" si="4"/>
        <v>3</v>
      </c>
      <c r="E88" s="49">
        <f>'Input Data'!E93</f>
        <v>0</v>
      </c>
      <c r="F88" s="49" t="str">
        <f>IFERROR(VLOOKUP(E88,'Input Data'!$K$15:$L$24,2,0),"")</f>
        <v/>
      </c>
      <c r="G88" s="49">
        <f>'Input Data'!F93</f>
        <v>0</v>
      </c>
      <c r="H88" s="50">
        <f>'Input Data'!G93</f>
        <v>0</v>
      </c>
      <c r="I88" s="50">
        <f>'Input Data'!H93</f>
        <v>0</v>
      </c>
      <c r="J88" s="39">
        <f>'Input Data'!I93</f>
        <v>0</v>
      </c>
      <c r="K88" s="117">
        <f t="shared" si="5"/>
        <v>0</v>
      </c>
      <c r="L88" s="114" t="str">
        <f t="shared" si="5"/>
        <v>Tercapai</v>
      </c>
    </row>
    <row r="89" spans="1:12" x14ac:dyDescent="0.25">
      <c r="A89" s="123" t="str">
        <f t="shared" si="7"/>
        <v>Minggu ke-3</v>
      </c>
      <c r="B89" s="115" t="str">
        <f t="shared" si="7"/>
        <v>Selasa</v>
      </c>
      <c r="C89" s="116"/>
      <c r="D89" s="117">
        <f t="shared" si="4"/>
        <v>3</v>
      </c>
      <c r="E89" s="49">
        <f>'Input Data'!E94</f>
        <v>0</v>
      </c>
      <c r="F89" s="49" t="str">
        <f>IFERROR(VLOOKUP(E89,'Input Data'!$K$15:$L$24,2,0),"")</f>
        <v/>
      </c>
      <c r="G89" s="49">
        <f>'Input Data'!F94</f>
        <v>0</v>
      </c>
      <c r="H89" s="50">
        <f>'Input Data'!G94</f>
        <v>0</v>
      </c>
      <c r="I89" s="50">
        <f>'Input Data'!H94</f>
        <v>0</v>
      </c>
      <c r="J89" s="39">
        <f>'Input Data'!I94</f>
        <v>0</v>
      </c>
      <c r="K89" s="117">
        <f t="shared" si="5"/>
        <v>0</v>
      </c>
      <c r="L89" s="114" t="str">
        <f t="shared" si="5"/>
        <v>Tercapai</v>
      </c>
    </row>
    <row r="90" spans="1:12" x14ac:dyDescent="0.25">
      <c r="A90" s="123" t="str">
        <f t="shared" si="7"/>
        <v>Minggu ke-3</v>
      </c>
      <c r="B90" s="115" t="str">
        <f t="shared" si="7"/>
        <v>Selasa</v>
      </c>
      <c r="C90" s="116"/>
      <c r="D90" s="117">
        <f t="shared" si="4"/>
        <v>3</v>
      </c>
      <c r="E90" s="49">
        <f>'Input Data'!E95</f>
        <v>0</v>
      </c>
      <c r="F90" s="49" t="str">
        <f>IFERROR(VLOOKUP(E90,'Input Data'!$K$15:$L$24,2,0),"")</f>
        <v/>
      </c>
      <c r="G90" s="49">
        <f>'Input Data'!F95</f>
        <v>0</v>
      </c>
      <c r="H90" s="50">
        <f>'Input Data'!G95</f>
        <v>0</v>
      </c>
      <c r="I90" s="50">
        <f>'Input Data'!H95</f>
        <v>0</v>
      </c>
      <c r="J90" s="39">
        <f>'Input Data'!I95</f>
        <v>0</v>
      </c>
      <c r="K90" s="117">
        <f t="shared" si="5"/>
        <v>0</v>
      </c>
      <c r="L90" s="114" t="str">
        <f t="shared" si="5"/>
        <v>Tercapai</v>
      </c>
    </row>
    <row r="91" spans="1:12" x14ac:dyDescent="0.25">
      <c r="A91" s="123" t="str">
        <f t="shared" si="7"/>
        <v>Minggu ke-3</v>
      </c>
      <c r="B91" s="115" t="str">
        <f>'Input Data'!B96</f>
        <v>Rabu</v>
      </c>
      <c r="C91" s="116">
        <f>'Input Data'!C96</f>
        <v>43754</v>
      </c>
      <c r="D91" s="117">
        <f>'Input Data'!D96</f>
        <v>3</v>
      </c>
      <c r="E91" s="49" t="str">
        <f>'Input Data'!E96</f>
        <v>AJ</v>
      </c>
      <c r="F91" s="49">
        <f>IFERROR(VLOOKUP(E91,'Input Data'!$K$15:$L$24,2,0),"")</f>
        <v>2</v>
      </c>
      <c r="G91" s="49">
        <f>'Input Data'!F96</f>
        <v>255</v>
      </c>
      <c r="H91" s="50">
        <f>'Input Data'!G96</f>
        <v>4340</v>
      </c>
      <c r="I91" s="50">
        <f>'Input Data'!H96</f>
        <v>0</v>
      </c>
      <c r="J91" s="39" t="str">
        <f>'Input Data'!I96</f>
        <v>-</v>
      </c>
      <c r="K91" s="117">
        <f>SUM(I91:I96)</f>
        <v>0</v>
      </c>
      <c r="L91" s="114" t="str">
        <f>IF(K91&lt;=0,"Tercapai","Tidak Tercapai")</f>
        <v>Tercapai</v>
      </c>
    </row>
    <row r="92" spans="1:12" x14ac:dyDescent="0.25">
      <c r="A92" s="123" t="str">
        <f t="shared" si="7"/>
        <v>Minggu ke-3</v>
      </c>
      <c r="B92" s="115" t="str">
        <f>B91</f>
        <v>Rabu</v>
      </c>
      <c r="C92" s="116"/>
      <c r="D92" s="117">
        <f t="shared" si="4"/>
        <v>3</v>
      </c>
      <c r="E92" s="49" t="str">
        <f>'Input Data'!E97</f>
        <v>AJ</v>
      </c>
      <c r="F92" s="49">
        <f>IFERROR(VLOOKUP(E92,'Input Data'!$K$15:$L$24,2,0),"")</f>
        <v>2</v>
      </c>
      <c r="G92" s="49">
        <f>'Input Data'!F97</f>
        <v>301</v>
      </c>
      <c r="H92" s="50">
        <f>'Input Data'!G97</f>
        <v>4361</v>
      </c>
      <c r="I92" s="50">
        <f>'Input Data'!H97</f>
        <v>0</v>
      </c>
      <c r="J92" s="39" t="str">
        <f>'Input Data'!I97</f>
        <v>-</v>
      </c>
      <c r="K92" s="117">
        <f t="shared" si="5"/>
        <v>0</v>
      </c>
      <c r="L92" s="114" t="str">
        <f>L91</f>
        <v>Tercapai</v>
      </c>
    </row>
    <row r="93" spans="1:12" x14ac:dyDescent="0.25">
      <c r="A93" s="123" t="str">
        <f t="shared" si="7"/>
        <v>Minggu ke-3</v>
      </c>
      <c r="B93" s="115" t="str">
        <f t="shared" si="7"/>
        <v>Rabu</v>
      </c>
      <c r="C93" s="116"/>
      <c r="D93" s="117">
        <f t="shared" si="4"/>
        <v>3</v>
      </c>
      <c r="E93" s="49" t="str">
        <f>'Input Data'!E98</f>
        <v>CT</v>
      </c>
      <c r="F93" s="49">
        <f>IFERROR(VLOOKUP(E93,'Input Data'!$K$15:$L$24,2,0),"")</f>
        <v>9</v>
      </c>
      <c r="G93" s="49">
        <f>'Input Data'!F98</f>
        <v>190</v>
      </c>
      <c r="H93" s="50">
        <f>'Input Data'!G98</f>
        <v>4000</v>
      </c>
      <c r="I93" s="50">
        <f>'Input Data'!H98</f>
        <v>0</v>
      </c>
      <c r="J93" s="39" t="str">
        <f>'Input Data'!I98</f>
        <v>-</v>
      </c>
      <c r="K93" s="117">
        <f t="shared" si="5"/>
        <v>0</v>
      </c>
      <c r="L93" s="114" t="str">
        <f t="shared" si="5"/>
        <v>Tercapai</v>
      </c>
    </row>
    <row r="94" spans="1:12" x14ac:dyDescent="0.25">
      <c r="A94" s="123" t="str">
        <f t="shared" si="7"/>
        <v>Minggu ke-3</v>
      </c>
      <c r="B94" s="115" t="str">
        <f t="shared" si="7"/>
        <v>Rabu</v>
      </c>
      <c r="C94" s="116"/>
      <c r="D94" s="117">
        <f t="shared" si="4"/>
        <v>3</v>
      </c>
      <c r="E94" s="49">
        <f>'Input Data'!E99</f>
        <v>0</v>
      </c>
      <c r="F94" s="49" t="str">
        <f>IFERROR(VLOOKUP(E94,'Input Data'!$K$15:$L$24,2,0),"")</f>
        <v/>
      </c>
      <c r="G94" s="49">
        <f>'Input Data'!F99</f>
        <v>0</v>
      </c>
      <c r="H94" s="50">
        <f>'Input Data'!G99</f>
        <v>0</v>
      </c>
      <c r="I94" s="50">
        <f>'Input Data'!H99</f>
        <v>0</v>
      </c>
      <c r="J94" s="39">
        <f>'Input Data'!I99</f>
        <v>0</v>
      </c>
      <c r="K94" s="117">
        <f t="shared" si="5"/>
        <v>0</v>
      </c>
      <c r="L94" s="114" t="str">
        <f t="shared" si="5"/>
        <v>Tercapai</v>
      </c>
    </row>
    <row r="95" spans="1:12" x14ac:dyDescent="0.25">
      <c r="A95" s="123" t="str">
        <f t="shared" si="7"/>
        <v>Minggu ke-3</v>
      </c>
      <c r="B95" s="115" t="str">
        <f t="shared" si="7"/>
        <v>Rabu</v>
      </c>
      <c r="C95" s="116"/>
      <c r="D95" s="117">
        <f t="shared" si="4"/>
        <v>3</v>
      </c>
      <c r="E95" s="49">
        <f>'Input Data'!E100</f>
        <v>0</v>
      </c>
      <c r="F95" s="49" t="str">
        <f>IFERROR(VLOOKUP(E95,'Input Data'!$K$15:$L$24,2,0),"")</f>
        <v/>
      </c>
      <c r="G95" s="49">
        <f>'Input Data'!F100</f>
        <v>0</v>
      </c>
      <c r="H95" s="50">
        <f>'Input Data'!G100</f>
        <v>0</v>
      </c>
      <c r="I95" s="50">
        <f>'Input Data'!H100</f>
        <v>0</v>
      </c>
      <c r="J95" s="39">
        <f>'Input Data'!I100</f>
        <v>0</v>
      </c>
      <c r="K95" s="117">
        <f t="shared" si="5"/>
        <v>0</v>
      </c>
      <c r="L95" s="114" t="str">
        <f t="shared" si="5"/>
        <v>Tercapai</v>
      </c>
    </row>
    <row r="96" spans="1:12" x14ac:dyDescent="0.25">
      <c r="A96" s="123" t="str">
        <f t="shared" si="7"/>
        <v>Minggu ke-3</v>
      </c>
      <c r="B96" s="115" t="str">
        <f t="shared" si="7"/>
        <v>Rabu</v>
      </c>
      <c r="C96" s="116"/>
      <c r="D96" s="117">
        <f t="shared" si="4"/>
        <v>3</v>
      </c>
      <c r="E96" s="49">
        <f>'Input Data'!E101</f>
        <v>0</v>
      </c>
      <c r="F96" s="49" t="str">
        <f>IFERROR(VLOOKUP(E96,'Input Data'!$K$15:$L$24,2,0),"")</f>
        <v/>
      </c>
      <c r="G96" s="49">
        <f>'Input Data'!F101</f>
        <v>0</v>
      </c>
      <c r="H96" s="50">
        <f>'Input Data'!G101</f>
        <v>0</v>
      </c>
      <c r="I96" s="50">
        <f>'Input Data'!H101</f>
        <v>0</v>
      </c>
      <c r="J96" s="39">
        <f>'Input Data'!I101</f>
        <v>0</v>
      </c>
      <c r="K96" s="117">
        <f t="shared" si="5"/>
        <v>0</v>
      </c>
      <c r="L96" s="114" t="str">
        <f t="shared" si="5"/>
        <v>Tercapai</v>
      </c>
    </row>
    <row r="97" spans="1:12" x14ac:dyDescent="0.25">
      <c r="A97" s="123" t="str">
        <f t="shared" si="7"/>
        <v>Minggu ke-3</v>
      </c>
      <c r="B97" s="115" t="str">
        <f>'Input Data'!B102</f>
        <v>Kamis</v>
      </c>
      <c r="C97" s="116">
        <f>'Input Data'!C102</f>
        <v>43755</v>
      </c>
      <c r="D97" s="117">
        <f>'Input Data'!D102</f>
        <v>2</v>
      </c>
      <c r="E97" s="49" t="str">
        <f>'Input Data'!E102</f>
        <v>PA</v>
      </c>
      <c r="F97" s="49">
        <f>IFERROR(VLOOKUP(E97,'Input Data'!$K$15:$L$24,2,0),"")</f>
        <v>3</v>
      </c>
      <c r="G97" s="49">
        <f>'Input Data'!F102</f>
        <v>319</v>
      </c>
      <c r="H97" s="50">
        <f>'Input Data'!G102</f>
        <v>4419</v>
      </c>
      <c r="I97" s="50">
        <f>'Input Data'!H102</f>
        <v>0</v>
      </c>
      <c r="J97" s="39" t="str">
        <f>'Input Data'!I102</f>
        <v>-</v>
      </c>
      <c r="K97" s="117">
        <f>SUM(I97:I102)</f>
        <v>1</v>
      </c>
      <c r="L97" s="114" t="str">
        <f>IF(K97&lt;=0,"Tercapai","Tidak Tercapai")</f>
        <v>Tidak Tercapai</v>
      </c>
    </row>
    <row r="98" spans="1:12" x14ac:dyDescent="0.25">
      <c r="A98" s="123" t="str">
        <f t="shared" si="7"/>
        <v>Minggu ke-3</v>
      </c>
      <c r="B98" s="115" t="str">
        <f>B97</f>
        <v>Kamis</v>
      </c>
      <c r="C98" s="116"/>
      <c r="D98" s="117">
        <f t="shared" si="4"/>
        <v>2</v>
      </c>
      <c r="E98" s="49" t="str">
        <f>'Input Data'!E103</f>
        <v>BJ</v>
      </c>
      <c r="F98" s="49">
        <f>IFERROR(VLOOKUP(E98,'Input Data'!$K$15:$L$24,2,0),"")</f>
        <v>6</v>
      </c>
      <c r="G98" s="49">
        <f>'Input Data'!F103</f>
        <v>322</v>
      </c>
      <c r="H98" s="50">
        <f>'Input Data'!G103</f>
        <v>4427</v>
      </c>
      <c r="I98" s="50">
        <f>'Input Data'!H103</f>
        <v>1</v>
      </c>
      <c r="J98" s="39">
        <f>'Input Data'!I103</f>
        <v>4</v>
      </c>
      <c r="K98" s="117">
        <f t="shared" si="5"/>
        <v>1</v>
      </c>
      <c r="L98" s="114" t="str">
        <f>L97</f>
        <v>Tidak Tercapai</v>
      </c>
    </row>
    <row r="99" spans="1:12" x14ac:dyDescent="0.25">
      <c r="A99" s="123" t="str">
        <f t="shared" si="7"/>
        <v>Minggu ke-3</v>
      </c>
      <c r="B99" s="115" t="str">
        <f t="shared" si="7"/>
        <v>Kamis</v>
      </c>
      <c r="C99" s="116"/>
      <c r="D99" s="117">
        <f t="shared" si="4"/>
        <v>2</v>
      </c>
      <c r="E99" s="49">
        <f>'Input Data'!E104</f>
        <v>0</v>
      </c>
      <c r="F99" s="49" t="str">
        <f>IFERROR(VLOOKUP(E99,'Input Data'!$K$15:$L$24,2,0),"")</f>
        <v/>
      </c>
      <c r="G99" s="49">
        <f>'Input Data'!F104</f>
        <v>0</v>
      </c>
      <c r="H99" s="50">
        <f>'Input Data'!G104</f>
        <v>0</v>
      </c>
      <c r="I99" s="50">
        <f>'Input Data'!H104</f>
        <v>0</v>
      </c>
      <c r="J99" s="39">
        <f>'Input Data'!I104</f>
        <v>0</v>
      </c>
      <c r="K99" s="117">
        <f t="shared" si="5"/>
        <v>1</v>
      </c>
      <c r="L99" s="114" t="str">
        <f t="shared" si="5"/>
        <v>Tidak Tercapai</v>
      </c>
    </row>
    <row r="100" spans="1:12" x14ac:dyDescent="0.25">
      <c r="A100" s="123" t="str">
        <f t="shared" si="7"/>
        <v>Minggu ke-3</v>
      </c>
      <c r="B100" s="115" t="str">
        <f t="shared" si="7"/>
        <v>Kamis</v>
      </c>
      <c r="C100" s="116"/>
      <c r="D100" s="117">
        <f t="shared" si="4"/>
        <v>2</v>
      </c>
      <c r="E100" s="49">
        <f>'Input Data'!E105</f>
        <v>0</v>
      </c>
      <c r="F100" s="49" t="str">
        <f>IFERROR(VLOOKUP(E100,'Input Data'!$K$15:$L$24,2,0),"")</f>
        <v/>
      </c>
      <c r="G100" s="49">
        <f>'Input Data'!F105</f>
        <v>0</v>
      </c>
      <c r="H100" s="50">
        <f>'Input Data'!G105</f>
        <v>0</v>
      </c>
      <c r="I100" s="50">
        <f>'Input Data'!H105</f>
        <v>0</v>
      </c>
      <c r="J100" s="39">
        <f>'Input Data'!I105</f>
        <v>0</v>
      </c>
      <c r="K100" s="117">
        <f t="shared" si="5"/>
        <v>1</v>
      </c>
      <c r="L100" s="114" t="str">
        <f t="shared" si="5"/>
        <v>Tidak Tercapai</v>
      </c>
    </row>
    <row r="101" spans="1:12" x14ac:dyDescent="0.25">
      <c r="A101" s="123" t="str">
        <f t="shared" si="7"/>
        <v>Minggu ke-3</v>
      </c>
      <c r="B101" s="115" t="str">
        <f t="shared" si="7"/>
        <v>Kamis</v>
      </c>
      <c r="C101" s="116"/>
      <c r="D101" s="117">
        <f t="shared" si="4"/>
        <v>2</v>
      </c>
      <c r="E101" s="49">
        <f>'Input Data'!E106</f>
        <v>0</v>
      </c>
      <c r="F101" s="49" t="str">
        <f>IFERROR(VLOOKUP(E101,'Input Data'!$K$15:$L$24,2,0),"")</f>
        <v/>
      </c>
      <c r="G101" s="49">
        <f>'Input Data'!F106</f>
        <v>0</v>
      </c>
      <c r="H101" s="50">
        <f>'Input Data'!G106</f>
        <v>0</v>
      </c>
      <c r="I101" s="50">
        <f>'Input Data'!H106</f>
        <v>0</v>
      </c>
      <c r="J101" s="39">
        <f>'Input Data'!I106</f>
        <v>0</v>
      </c>
      <c r="K101" s="117">
        <f t="shared" si="5"/>
        <v>1</v>
      </c>
      <c r="L101" s="114" t="str">
        <f t="shared" si="5"/>
        <v>Tidak Tercapai</v>
      </c>
    </row>
    <row r="102" spans="1:12" x14ac:dyDescent="0.25">
      <c r="A102" s="123" t="str">
        <f t="shared" si="7"/>
        <v>Minggu ke-3</v>
      </c>
      <c r="B102" s="115" t="str">
        <f t="shared" si="7"/>
        <v>Kamis</v>
      </c>
      <c r="C102" s="116"/>
      <c r="D102" s="117">
        <f t="shared" ref="D102:D150" si="8">D101</f>
        <v>2</v>
      </c>
      <c r="E102" s="49">
        <f>'Input Data'!E107</f>
        <v>0</v>
      </c>
      <c r="F102" s="49" t="str">
        <f>IFERROR(VLOOKUP(E102,'Input Data'!$K$15:$L$24,2,0),"")</f>
        <v/>
      </c>
      <c r="G102" s="49">
        <f>'Input Data'!F107</f>
        <v>0</v>
      </c>
      <c r="H102" s="50">
        <f>'Input Data'!G107</f>
        <v>0</v>
      </c>
      <c r="I102" s="50">
        <f>'Input Data'!H107</f>
        <v>0</v>
      </c>
      <c r="J102" s="39">
        <f>'Input Data'!I107</f>
        <v>0</v>
      </c>
      <c r="K102" s="117">
        <f t="shared" ref="K102:L150" si="9">K101</f>
        <v>1</v>
      </c>
      <c r="L102" s="114" t="str">
        <f t="shared" si="9"/>
        <v>Tidak Tercapai</v>
      </c>
    </row>
    <row r="103" spans="1:12" x14ac:dyDescent="0.25">
      <c r="A103" s="123" t="str">
        <f t="shared" si="7"/>
        <v>Minggu ke-3</v>
      </c>
      <c r="B103" s="115" t="str">
        <f>'Input Data'!B108</f>
        <v>Jum'at</v>
      </c>
      <c r="C103" s="116">
        <f>'Input Data'!C108</f>
        <v>43756</v>
      </c>
      <c r="D103" s="117">
        <f>'Input Data'!D108</f>
        <v>3</v>
      </c>
      <c r="E103" s="49" t="str">
        <f>'Input Data'!E108</f>
        <v>PA</v>
      </c>
      <c r="F103" s="49">
        <f>IFERROR(VLOOKUP(E103,'Input Data'!$K$15:$L$24,2,0),"")</f>
        <v>3</v>
      </c>
      <c r="G103" s="49">
        <f>'Input Data'!F108</f>
        <v>299</v>
      </c>
      <c r="H103" s="50">
        <f>'Input Data'!G108</f>
        <v>4405</v>
      </c>
      <c r="I103" s="50">
        <f>'Input Data'!H108</f>
        <v>0</v>
      </c>
      <c r="J103" s="39" t="str">
        <f>'Input Data'!I108</f>
        <v>-</v>
      </c>
      <c r="K103" s="117">
        <f>SUM(I103:I108)</f>
        <v>0</v>
      </c>
      <c r="L103" s="114" t="str">
        <f>IF(K103&lt;=0,"Tercapai","Tidak Tercapai")</f>
        <v>Tercapai</v>
      </c>
    </row>
    <row r="104" spans="1:12" x14ac:dyDescent="0.25">
      <c r="A104" s="123" t="str">
        <f t="shared" si="7"/>
        <v>Minggu ke-3</v>
      </c>
      <c r="B104" s="115" t="str">
        <f>B103</f>
        <v>Jum'at</v>
      </c>
      <c r="C104" s="116"/>
      <c r="D104" s="117">
        <f t="shared" si="8"/>
        <v>3</v>
      </c>
      <c r="E104" s="49" t="str">
        <f>'Input Data'!E109</f>
        <v>SD</v>
      </c>
      <c r="F104" s="49">
        <f>IFERROR(VLOOKUP(E104,'Input Data'!$K$15:$L$24,2,0),"")</f>
        <v>1</v>
      </c>
      <c r="G104" s="49">
        <f>'Input Data'!F109</f>
        <v>323</v>
      </c>
      <c r="H104" s="50">
        <f>'Input Data'!G109</f>
        <v>4424</v>
      </c>
      <c r="I104" s="50">
        <f>'Input Data'!H109</f>
        <v>0</v>
      </c>
      <c r="J104" s="39" t="str">
        <f>'Input Data'!I109</f>
        <v>-</v>
      </c>
      <c r="K104" s="117">
        <f t="shared" si="9"/>
        <v>0</v>
      </c>
      <c r="L104" s="114" t="str">
        <f>L103</f>
        <v>Tercapai</v>
      </c>
    </row>
    <row r="105" spans="1:12" x14ac:dyDescent="0.25">
      <c r="A105" s="123" t="str">
        <f t="shared" si="7"/>
        <v>Minggu ke-3</v>
      </c>
      <c r="B105" s="115" t="str">
        <f t="shared" si="7"/>
        <v>Jum'at</v>
      </c>
      <c r="C105" s="116"/>
      <c r="D105" s="117">
        <f t="shared" si="8"/>
        <v>3</v>
      </c>
      <c r="E105" s="49" t="str">
        <f>'Input Data'!E110</f>
        <v>TS</v>
      </c>
      <c r="F105" s="49">
        <f>IFERROR(VLOOKUP(E105,'Input Data'!$K$15:$L$24,2,0),"")</f>
        <v>8</v>
      </c>
      <c r="G105" s="49">
        <f>'Input Data'!F110</f>
        <v>72</v>
      </c>
      <c r="H105" s="50">
        <f>'Input Data'!G110</f>
        <v>4320</v>
      </c>
      <c r="I105" s="50">
        <f>'Input Data'!H110</f>
        <v>0</v>
      </c>
      <c r="J105" s="39" t="str">
        <f>'Input Data'!I110</f>
        <v>-</v>
      </c>
      <c r="K105" s="117">
        <f t="shared" si="9"/>
        <v>0</v>
      </c>
      <c r="L105" s="114" t="str">
        <f t="shared" si="9"/>
        <v>Tercapai</v>
      </c>
    </row>
    <row r="106" spans="1:12" x14ac:dyDescent="0.25">
      <c r="A106" s="123" t="str">
        <f t="shared" si="7"/>
        <v>Minggu ke-3</v>
      </c>
      <c r="B106" s="115" t="str">
        <f t="shared" si="7"/>
        <v>Jum'at</v>
      </c>
      <c r="C106" s="116"/>
      <c r="D106" s="117">
        <f t="shared" si="8"/>
        <v>3</v>
      </c>
      <c r="E106" s="49">
        <f>'Input Data'!E111</f>
        <v>0</v>
      </c>
      <c r="F106" s="49" t="str">
        <f>IFERROR(VLOOKUP(E106,'Input Data'!$K$15:$L$24,2,0),"")</f>
        <v/>
      </c>
      <c r="G106" s="49">
        <f>'Input Data'!F111</f>
        <v>0</v>
      </c>
      <c r="H106" s="50">
        <f>'Input Data'!G111</f>
        <v>0</v>
      </c>
      <c r="I106" s="50">
        <f>'Input Data'!H111</f>
        <v>0</v>
      </c>
      <c r="J106" s="39">
        <f>'Input Data'!I111</f>
        <v>0</v>
      </c>
      <c r="K106" s="117">
        <f t="shared" si="9"/>
        <v>0</v>
      </c>
      <c r="L106" s="114" t="str">
        <f t="shared" si="9"/>
        <v>Tercapai</v>
      </c>
    </row>
    <row r="107" spans="1:12" x14ac:dyDescent="0.25">
      <c r="A107" s="123" t="str">
        <f t="shared" si="7"/>
        <v>Minggu ke-3</v>
      </c>
      <c r="B107" s="115" t="str">
        <f t="shared" si="7"/>
        <v>Jum'at</v>
      </c>
      <c r="C107" s="116"/>
      <c r="D107" s="117">
        <f t="shared" si="8"/>
        <v>3</v>
      </c>
      <c r="E107" s="49">
        <f>'Input Data'!E112</f>
        <v>0</v>
      </c>
      <c r="F107" s="49" t="str">
        <f>IFERROR(VLOOKUP(E107,'Input Data'!$K$15:$L$24,2,0),"")</f>
        <v/>
      </c>
      <c r="G107" s="49">
        <f>'Input Data'!F112</f>
        <v>0</v>
      </c>
      <c r="H107" s="50">
        <f>'Input Data'!G112</f>
        <v>0</v>
      </c>
      <c r="I107" s="50">
        <f>'Input Data'!H112</f>
        <v>0</v>
      </c>
      <c r="J107" s="39">
        <f>'Input Data'!I112</f>
        <v>0</v>
      </c>
      <c r="K107" s="117">
        <f t="shared" si="9"/>
        <v>0</v>
      </c>
      <c r="L107" s="114" t="str">
        <f t="shared" si="9"/>
        <v>Tercapai</v>
      </c>
    </row>
    <row r="108" spans="1:12" x14ac:dyDescent="0.25">
      <c r="A108" s="123" t="str">
        <f t="shared" si="7"/>
        <v>Minggu ke-3</v>
      </c>
      <c r="B108" s="115" t="str">
        <f t="shared" si="7"/>
        <v>Jum'at</v>
      </c>
      <c r="C108" s="116"/>
      <c r="D108" s="117">
        <f t="shared" si="8"/>
        <v>3</v>
      </c>
      <c r="E108" s="49">
        <f>'Input Data'!E113</f>
        <v>0</v>
      </c>
      <c r="F108" s="49" t="str">
        <f>IFERROR(VLOOKUP(E108,'Input Data'!$K$15:$L$24,2,0),"")</f>
        <v/>
      </c>
      <c r="G108" s="49">
        <f>'Input Data'!F113</f>
        <v>0</v>
      </c>
      <c r="H108" s="50">
        <f>'Input Data'!G113</f>
        <v>0</v>
      </c>
      <c r="I108" s="50">
        <f>'Input Data'!H113</f>
        <v>0</v>
      </c>
      <c r="J108" s="39">
        <f>'Input Data'!I113</f>
        <v>0</v>
      </c>
      <c r="K108" s="117">
        <f t="shared" si="9"/>
        <v>0</v>
      </c>
      <c r="L108" s="114" t="str">
        <f t="shared" si="9"/>
        <v>Tercapai</v>
      </c>
    </row>
    <row r="109" spans="1:12" x14ac:dyDescent="0.25">
      <c r="A109" s="123" t="str">
        <f t="shared" si="7"/>
        <v>Minggu ke-3</v>
      </c>
      <c r="B109" s="115" t="str">
        <f>'Input Data'!B114</f>
        <v>Sabtu</v>
      </c>
      <c r="C109" s="116">
        <f>'Input Data'!C114</f>
        <v>43757</v>
      </c>
      <c r="D109" s="117">
        <f>'Input Data'!D114</f>
        <v>3</v>
      </c>
      <c r="E109" s="49" t="str">
        <f>'Input Data'!E114</f>
        <v>KR</v>
      </c>
      <c r="F109" s="49">
        <f>IFERROR(VLOOKUP(E109,'Input Data'!$K$15:$L$24,2,0),"")</f>
        <v>10</v>
      </c>
      <c r="G109" s="49">
        <f>'Input Data'!F114</f>
        <v>311</v>
      </c>
      <c r="H109" s="50">
        <f>'Input Data'!G114</f>
        <v>4153</v>
      </c>
      <c r="I109" s="50">
        <f>'Input Data'!H114</f>
        <v>1</v>
      </c>
      <c r="J109" s="39">
        <f>'Input Data'!I114</f>
        <v>4</v>
      </c>
      <c r="K109" s="117">
        <f>SUM(I109:I114)</f>
        <v>2</v>
      </c>
      <c r="L109" s="114" t="str">
        <f>IF(K109&lt;=0,"Tercapai","Tidak Tercapai")</f>
        <v>Tidak Tercapai</v>
      </c>
    </row>
    <row r="110" spans="1:12" x14ac:dyDescent="0.25">
      <c r="A110" s="123" t="str">
        <f t="shared" si="7"/>
        <v>Minggu ke-3</v>
      </c>
      <c r="B110" s="115" t="str">
        <f>B109</f>
        <v>Sabtu</v>
      </c>
      <c r="C110" s="116"/>
      <c r="D110" s="117">
        <f t="shared" si="8"/>
        <v>3</v>
      </c>
      <c r="E110" s="49" t="str">
        <f>'Input Data'!E115</f>
        <v>KR</v>
      </c>
      <c r="F110" s="49">
        <f>IFERROR(VLOOKUP(E110,'Input Data'!$K$15:$L$24,2,0),"")</f>
        <v>10</v>
      </c>
      <c r="G110" s="49">
        <f>'Input Data'!F115</f>
        <v>311</v>
      </c>
      <c r="H110" s="50">
        <f>'Input Data'!G115</f>
        <v>4123</v>
      </c>
      <c r="I110" s="50">
        <f>'Input Data'!H115</f>
        <v>0</v>
      </c>
      <c r="J110" s="39" t="str">
        <f>'Input Data'!I115</f>
        <v>-</v>
      </c>
      <c r="K110" s="117">
        <f t="shared" si="9"/>
        <v>2</v>
      </c>
      <c r="L110" s="114" t="str">
        <f>L109</f>
        <v>Tidak Tercapai</v>
      </c>
    </row>
    <row r="111" spans="1:12" x14ac:dyDescent="0.25">
      <c r="A111" s="123" t="str">
        <f t="shared" si="7"/>
        <v>Minggu ke-3</v>
      </c>
      <c r="B111" s="115" t="str">
        <f t="shared" si="7"/>
        <v>Sabtu</v>
      </c>
      <c r="C111" s="116"/>
      <c r="D111" s="117">
        <f t="shared" si="8"/>
        <v>3</v>
      </c>
      <c r="E111" s="49" t="str">
        <f>'Input Data'!E116</f>
        <v>AJ</v>
      </c>
      <c r="F111" s="49">
        <f>IFERROR(VLOOKUP(E111,'Input Data'!$K$15:$L$24,2,0),"")</f>
        <v>2</v>
      </c>
      <c r="G111" s="49">
        <f>'Input Data'!F116</f>
        <v>312</v>
      </c>
      <c r="H111" s="50">
        <f>'Input Data'!G116</f>
        <v>4400</v>
      </c>
      <c r="I111" s="50">
        <f>'Input Data'!H116</f>
        <v>1</v>
      </c>
      <c r="J111" s="39">
        <f>'Input Data'!I116</f>
        <v>1</v>
      </c>
      <c r="K111" s="117">
        <f t="shared" si="9"/>
        <v>2</v>
      </c>
      <c r="L111" s="114" t="str">
        <f t="shared" si="9"/>
        <v>Tidak Tercapai</v>
      </c>
    </row>
    <row r="112" spans="1:12" x14ac:dyDescent="0.25">
      <c r="A112" s="123" t="str">
        <f t="shared" si="7"/>
        <v>Minggu ke-3</v>
      </c>
      <c r="B112" s="115" t="str">
        <f t="shared" si="7"/>
        <v>Sabtu</v>
      </c>
      <c r="C112" s="116"/>
      <c r="D112" s="117">
        <f t="shared" si="8"/>
        <v>3</v>
      </c>
      <c r="E112" s="49">
        <f>'Input Data'!E117</f>
        <v>0</v>
      </c>
      <c r="F112" s="49" t="str">
        <f>IFERROR(VLOOKUP(E112,'Input Data'!$K$15:$L$24,2,0),"")</f>
        <v/>
      </c>
      <c r="G112" s="49">
        <f>'Input Data'!F117</f>
        <v>0</v>
      </c>
      <c r="H112" s="50">
        <f>'Input Data'!G117</f>
        <v>0</v>
      </c>
      <c r="I112" s="50">
        <f>'Input Data'!H117</f>
        <v>0</v>
      </c>
      <c r="J112" s="39">
        <f>'Input Data'!I117</f>
        <v>0</v>
      </c>
      <c r="K112" s="117">
        <f t="shared" si="9"/>
        <v>2</v>
      </c>
      <c r="L112" s="114" t="str">
        <f t="shared" si="9"/>
        <v>Tidak Tercapai</v>
      </c>
    </row>
    <row r="113" spans="1:12" ht="15" customHeight="1" x14ac:dyDescent="0.25">
      <c r="A113" s="123" t="str">
        <f t="shared" si="7"/>
        <v>Minggu ke-3</v>
      </c>
      <c r="B113" s="115" t="str">
        <f t="shared" si="7"/>
        <v>Sabtu</v>
      </c>
      <c r="C113" s="116"/>
      <c r="D113" s="117">
        <f t="shared" si="8"/>
        <v>3</v>
      </c>
      <c r="E113" s="49">
        <f>'Input Data'!E118</f>
        <v>0</v>
      </c>
      <c r="F113" s="49" t="str">
        <f>IFERROR(VLOOKUP(E113,'Input Data'!$K$15:$L$24,2,0),"")</f>
        <v/>
      </c>
      <c r="G113" s="49">
        <f>'Input Data'!F118</f>
        <v>0</v>
      </c>
      <c r="H113" s="50">
        <f>'Input Data'!G118</f>
        <v>0</v>
      </c>
      <c r="I113" s="50">
        <f>'Input Data'!H118</f>
        <v>0</v>
      </c>
      <c r="J113" s="39">
        <f>'Input Data'!I118</f>
        <v>0</v>
      </c>
      <c r="K113" s="117">
        <f t="shared" si="9"/>
        <v>2</v>
      </c>
      <c r="L113" s="114" t="str">
        <f t="shared" si="9"/>
        <v>Tidak Tercapai</v>
      </c>
    </row>
    <row r="114" spans="1:12" ht="15.75" thickBot="1" x14ac:dyDescent="0.3">
      <c r="A114" s="124" t="str">
        <f t="shared" si="7"/>
        <v>Minggu ke-3</v>
      </c>
      <c r="B114" s="126" t="str">
        <f t="shared" si="7"/>
        <v>Sabtu</v>
      </c>
      <c r="C114" s="129"/>
      <c r="D114" s="130">
        <f t="shared" si="8"/>
        <v>3</v>
      </c>
      <c r="E114" s="51">
        <f>'Input Data'!E119</f>
        <v>0</v>
      </c>
      <c r="F114" s="51" t="str">
        <f>IFERROR(VLOOKUP(E114,'Input Data'!$K$15:$L$24,2,0),"")</f>
        <v/>
      </c>
      <c r="G114" s="51">
        <f>'Input Data'!F119</f>
        <v>0</v>
      </c>
      <c r="H114" s="34">
        <f>'Input Data'!G119</f>
        <v>0</v>
      </c>
      <c r="I114" s="34">
        <f>'Input Data'!H119</f>
        <v>0</v>
      </c>
      <c r="J114" s="56">
        <f>'Input Data'!I119</f>
        <v>0</v>
      </c>
      <c r="K114" s="130">
        <f t="shared" si="9"/>
        <v>2</v>
      </c>
      <c r="L114" s="118" t="str">
        <f t="shared" si="9"/>
        <v>Tidak Tercapai</v>
      </c>
    </row>
    <row r="115" spans="1:12" x14ac:dyDescent="0.25">
      <c r="A115" s="122" t="s">
        <v>32</v>
      </c>
      <c r="B115" s="125" t="str">
        <f>'Input Data'!B122</f>
        <v>Senin</v>
      </c>
      <c r="C115" s="127">
        <f>'Input Data'!C122</f>
        <v>43759</v>
      </c>
      <c r="D115" s="128">
        <f>'Input Data'!D122</f>
        <v>4</v>
      </c>
      <c r="E115" s="81" t="str">
        <f>'Input Data'!E122</f>
        <v>SD</v>
      </c>
      <c r="F115" s="81">
        <f>IFERROR(VLOOKUP(E115,'Input Data'!$K$15:$L$24,2,0),"")</f>
        <v>1</v>
      </c>
      <c r="G115" s="81">
        <f>'Input Data'!F122</f>
        <v>299</v>
      </c>
      <c r="H115" s="82">
        <f>'Input Data'!G122</f>
        <v>4407</v>
      </c>
      <c r="I115" s="82">
        <f>'Input Data'!H122</f>
        <v>0</v>
      </c>
      <c r="J115" s="83" t="str">
        <f>'Input Data'!I122</f>
        <v>-</v>
      </c>
      <c r="K115" s="128">
        <f>SUM(I115:I120)</f>
        <v>1</v>
      </c>
      <c r="L115" s="121" t="str">
        <f>IF(K115&lt;=0,"Tercapai","Tidak Tercapai")</f>
        <v>Tidak Tercapai</v>
      </c>
    </row>
    <row r="116" spans="1:12" x14ac:dyDescent="0.25">
      <c r="A116" s="123" t="str">
        <f>A115</f>
        <v>Minggu ke-4</v>
      </c>
      <c r="B116" s="115" t="str">
        <f>B115</f>
        <v>Senin</v>
      </c>
      <c r="C116" s="116"/>
      <c r="D116" s="117">
        <f t="shared" si="8"/>
        <v>4</v>
      </c>
      <c r="E116" s="49" t="str">
        <f>'Input Data'!E123</f>
        <v>KR</v>
      </c>
      <c r="F116" s="49">
        <f>IFERROR(VLOOKUP(E116,'Input Data'!$K$15:$L$24,2,0),"")</f>
        <v>10</v>
      </c>
      <c r="G116" s="49">
        <f>'Input Data'!F123</f>
        <v>311</v>
      </c>
      <c r="H116" s="50">
        <f>'Input Data'!G123</f>
        <v>4145</v>
      </c>
      <c r="I116" s="50">
        <f>'Input Data'!H123</f>
        <v>0</v>
      </c>
      <c r="J116" s="39" t="str">
        <f>'Input Data'!I123</f>
        <v>-</v>
      </c>
      <c r="K116" s="117">
        <f t="shared" si="9"/>
        <v>1</v>
      </c>
      <c r="L116" s="114" t="str">
        <f>L115</f>
        <v>Tidak Tercapai</v>
      </c>
    </row>
    <row r="117" spans="1:12" x14ac:dyDescent="0.25">
      <c r="A117" s="123" t="str">
        <f t="shared" ref="A117:B150" si="10">A116</f>
        <v>Minggu ke-4</v>
      </c>
      <c r="B117" s="115" t="str">
        <f t="shared" si="10"/>
        <v>Senin</v>
      </c>
      <c r="C117" s="116"/>
      <c r="D117" s="117">
        <f t="shared" si="8"/>
        <v>4</v>
      </c>
      <c r="E117" s="49" t="str">
        <f>'Input Data'!E124</f>
        <v>CT</v>
      </c>
      <c r="F117" s="49">
        <f>IFERROR(VLOOKUP(E117,'Input Data'!$K$15:$L$24,2,0),"")</f>
        <v>9</v>
      </c>
      <c r="G117" s="49">
        <f>'Input Data'!F124</f>
        <v>305</v>
      </c>
      <c r="H117" s="50">
        <f>'Input Data'!G124</f>
        <v>4413</v>
      </c>
      <c r="I117" s="50">
        <f>'Input Data'!H124</f>
        <v>0</v>
      </c>
      <c r="J117" s="39" t="str">
        <f>'Input Data'!I124</f>
        <v>-</v>
      </c>
      <c r="K117" s="117">
        <f t="shared" si="9"/>
        <v>1</v>
      </c>
      <c r="L117" s="114" t="str">
        <f t="shared" si="9"/>
        <v>Tidak Tercapai</v>
      </c>
    </row>
    <row r="118" spans="1:12" x14ac:dyDescent="0.25">
      <c r="A118" s="123" t="str">
        <f t="shared" si="10"/>
        <v>Minggu ke-4</v>
      </c>
      <c r="B118" s="115" t="str">
        <f t="shared" si="10"/>
        <v>Senin</v>
      </c>
      <c r="C118" s="116"/>
      <c r="D118" s="117">
        <f t="shared" si="8"/>
        <v>4</v>
      </c>
      <c r="E118" s="49" t="str">
        <f>'Input Data'!E125</f>
        <v>AJ</v>
      </c>
      <c r="F118" s="49">
        <f>IFERROR(VLOOKUP(E118,'Input Data'!$K$15:$L$24,2,0),"")</f>
        <v>2</v>
      </c>
      <c r="G118" s="49">
        <f>'Input Data'!F125</f>
        <v>312</v>
      </c>
      <c r="H118" s="50">
        <f>'Input Data'!G125</f>
        <v>4400</v>
      </c>
      <c r="I118" s="50">
        <f>'Input Data'!H125</f>
        <v>1</v>
      </c>
      <c r="J118" s="39">
        <f>'Input Data'!I125</f>
        <v>2</v>
      </c>
      <c r="K118" s="117">
        <f t="shared" si="9"/>
        <v>1</v>
      </c>
      <c r="L118" s="114" t="str">
        <f t="shared" si="9"/>
        <v>Tidak Tercapai</v>
      </c>
    </row>
    <row r="119" spans="1:12" x14ac:dyDescent="0.25">
      <c r="A119" s="123" t="str">
        <f t="shared" si="10"/>
        <v>Minggu ke-4</v>
      </c>
      <c r="B119" s="115" t="str">
        <f t="shared" si="10"/>
        <v>Senin</v>
      </c>
      <c r="C119" s="116"/>
      <c r="D119" s="117">
        <f t="shared" si="8"/>
        <v>4</v>
      </c>
      <c r="E119" s="49">
        <f>'Input Data'!E126</f>
        <v>0</v>
      </c>
      <c r="F119" s="49" t="str">
        <f>IFERROR(VLOOKUP(E119,'Input Data'!$K$15:$L$24,2,0),"")</f>
        <v/>
      </c>
      <c r="G119" s="49">
        <f>'Input Data'!F126</f>
        <v>0</v>
      </c>
      <c r="H119" s="50">
        <f>'Input Data'!G126</f>
        <v>0</v>
      </c>
      <c r="I119" s="50">
        <f>'Input Data'!H126</f>
        <v>0</v>
      </c>
      <c r="J119" s="39">
        <f>'Input Data'!I126</f>
        <v>0</v>
      </c>
      <c r="K119" s="117">
        <f t="shared" si="9"/>
        <v>1</v>
      </c>
      <c r="L119" s="114" t="str">
        <f t="shared" si="9"/>
        <v>Tidak Tercapai</v>
      </c>
    </row>
    <row r="120" spans="1:12" x14ac:dyDescent="0.25">
      <c r="A120" s="123" t="str">
        <f t="shared" si="10"/>
        <v>Minggu ke-4</v>
      </c>
      <c r="B120" s="115" t="str">
        <f t="shared" si="10"/>
        <v>Senin</v>
      </c>
      <c r="C120" s="116"/>
      <c r="D120" s="117">
        <f t="shared" si="8"/>
        <v>4</v>
      </c>
      <c r="E120" s="49">
        <f>'Input Data'!E127</f>
        <v>0</v>
      </c>
      <c r="F120" s="49" t="str">
        <f>IFERROR(VLOOKUP(E120,'Input Data'!$K$15:$L$24,2,0),"")</f>
        <v/>
      </c>
      <c r="G120" s="49">
        <f>'Input Data'!F127</f>
        <v>0</v>
      </c>
      <c r="H120" s="50">
        <f>'Input Data'!G127</f>
        <v>0</v>
      </c>
      <c r="I120" s="50">
        <f>'Input Data'!H127</f>
        <v>0</v>
      </c>
      <c r="J120" s="39">
        <f>'Input Data'!I127</f>
        <v>0</v>
      </c>
      <c r="K120" s="117">
        <f t="shared" si="9"/>
        <v>1</v>
      </c>
      <c r="L120" s="114" t="str">
        <f t="shared" si="9"/>
        <v>Tidak Tercapai</v>
      </c>
    </row>
    <row r="121" spans="1:12" x14ac:dyDescent="0.25">
      <c r="A121" s="123" t="str">
        <f t="shared" si="10"/>
        <v>Minggu ke-4</v>
      </c>
      <c r="B121" s="115" t="str">
        <f>'Input Data'!B128</f>
        <v>Selasa</v>
      </c>
      <c r="C121" s="116">
        <f>'Input Data'!C128</f>
        <v>43760</v>
      </c>
      <c r="D121" s="117">
        <f>'Input Data'!D128</f>
        <v>4</v>
      </c>
      <c r="E121" s="49" t="str">
        <f>'Input Data'!E128</f>
        <v>KR</v>
      </c>
      <c r="F121" s="49">
        <f>IFERROR(VLOOKUP(E121,'Input Data'!$K$15:$L$24,2,0),"")</f>
        <v>10</v>
      </c>
      <c r="G121" s="49">
        <f>'Input Data'!F128</f>
        <v>311</v>
      </c>
      <c r="H121" s="50">
        <f>'Input Data'!G128</f>
        <v>4153</v>
      </c>
      <c r="I121" s="50">
        <f>'Input Data'!H128</f>
        <v>0</v>
      </c>
      <c r="J121" s="39" t="str">
        <f>'Input Data'!I128</f>
        <v>-</v>
      </c>
      <c r="K121" s="117">
        <f>SUM(I121:I126)</f>
        <v>0</v>
      </c>
      <c r="L121" s="114" t="str">
        <f>IF(K121&lt;=0,"Tercapai","Tidak Tercapai")</f>
        <v>Tercapai</v>
      </c>
    </row>
    <row r="122" spans="1:12" x14ac:dyDescent="0.25">
      <c r="A122" s="123" t="str">
        <f t="shared" si="10"/>
        <v>Minggu ke-4</v>
      </c>
      <c r="B122" s="115" t="str">
        <f>B121</f>
        <v>Selasa</v>
      </c>
      <c r="C122" s="116"/>
      <c r="D122" s="117">
        <f t="shared" si="8"/>
        <v>4</v>
      </c>
      <c r="E122" s="49" t="str">
        <f>'Input Data'!E129</f>
        <v>KR</v>
      </c>
      <c r="F122" s="49">
        <f>IFERROR(VLOOKUP(E122,'Input Data'!$K$15:$L$24,2,0),"")</f>
        <v>10</v>
      </c>
      <c r="G122" s="49">
        <f>'Input Data'!F129</f>
        <v>311</v>
      </c>
      <c r="H122" s="50">
        <f>'Input Data'!G129</f>
        <v>4123</v>
      </c>
      <c r="I122" s="50">
        <f>'Input Data'!H129</f>
        <v>0</v>
      </c>
      <c r="J122" s="39" t="str">
        <f>'Input Data'!I129</f>
        <v>-</v>
      </c>
      <c r="K122" s="117">
        <f t="shared" si="9"/>
        <v>0</v>
      </c>
      <c r="L122" s="114" t="str">
        <f>L121</f>
        <v>Tercapai</v>
      </c>
    </row>
    <row r="123" spans="1:12" ht="15.75" customHeight="1" x14ac:dyDescent="0.25">
      <c r="A123" s="123" t="str">
        <f t="shared" si="10"/>
        <v>Minggu ke-4</v>
      </c>
      <c r="B123" s="115" t="str">
        <f t="shared" si="10"/>
        <v>Selasa</v>
      </c>
      <c r="C123" s="116"/>
      <c r="D123" s="117">
        <f t="shared" si="8"/>
        <v>4</v>
      </c>
      <c r="E123" s="49" t="str">
        <f>'Input Data'!E130</f>
        <v>AJ</v>
      </c>
      <c r="F123" s="49">
        <f>IFERROR(VLOOKUP(E123,'Input Data'!$K$15:$L$24,2,0),"")</f>
        <v>2</v>
      </c>
      <c r="G123" s="49">
        <f>'Input Data'!F130</f>
        <v>312</v>
      </c>
      <c r="H123" s="50">
        <f>'Input Data'!G130</f>
        <v>4400</v>
      </c>
      <c r="I123" s="50">
        <f>'Input Data'!H130</f>
        <v>0</v>
      </c>
      <c r="J123" s="39" t="str">
        <f>'Input Data'!I130</f>
        <v>-</v>
      </c>
      <c r="K123" s="117">
        <f t="shared" si="9"/>
        <v>0</v>
      </c>
      <c r="L123" s="114" t="str">
        <f t="shared" si="9"/>
        <v>Tercapai</v>
      </c>
    </row>
    <row r="124" spans="1:12" ht="15.75" customHeight="1" x14ac:dyDescent="0.25">
      <c r="A124" s="123" t="str">
        <f t="shared" si="10"/>
        <v>Minggu ke-4</v>
      </c>
      <c r="B124" s="115" t="str">
        <f t="shared" si="10"/>
        <v>Selasa</v>
      </c>
      <c r="C124" s="116"/>
      <c r="D124" s="117">
        <f t="shared" si="8"/>
        <v>4</v>
      </c>
      <c r="E124" s="49" t="str">
        <f>'Input Data'!E131</f>
        <v>PA</v>
      </c>
      <c r="F124" s="49">
        <f>IFERROR(VLOOKUP(E124,'Input Data'!$K$15:$L$24,2,0),"")</f>
        <v>3</v>
      </c>
      <c r="G124" s="49">
        <f>'Input Data'!F131</f>
        <v>314</v>
      </c>
      <c r="H124" s="50">
        <f>'Input Data'!G131</f>
        <v>4412</v>
      </c>
      <c r="I124" s="50">
        <f>'Input Data'!H131</f>
        <v>0</v>
      </c>
      <c r="J124" s="39" t="str">
        <f>'Input Data'!I131</f>
        <v>-</v>
      </c>
      <c r="K124" s="117">
        <f t="shared" si="9"/>
        <v>0</v>
      </c>
      <c r="L124" s="114" t="str">
        <f t="shared" si="9"/>
        <v>Tercapai</v>
      </c>
    </row>
    <row r="125" spans="1:12" ht="15.75" customHeight="1" x14ac:dyDescent="0.25">
      <c r="A125" s="123" t="str">
        <f t="shared" si="10"/>
        <v>Minggu ke-4</v>
      </c>
      <c r="B125" s="115" t="str">
        <f t="shared" si="10"/>
        <v>Selasa</v>
      </c>
      <c r="C125" s="116"/>
      <c r="D125" s="117">
        <f t="shared" si="8"/>
        <v>4</v>
      </c>
      <c r="E125" s="49">
        <f>'Input Data'!E132</f>
        <v>0</v>
      </c>
      <c r="F125" s="49" t="str">
        <f>IFERROR(VLOOKUP(E125,'Input Data'!$K$15:$L$24,2,0),"")</f>
        <v/>
      </c>
      <c r="G125" s="49">
        <f>'Input Data'!F132</f>
        <v>0</v>
      </c>
      <c r="H125" s="50">
        <f>'Input Data'!G132</f>
        <v>0</v>
      </c>
      <c r="I125" s="50">
        <f>'Input Data'!H132</f>
        <v>0</v>
      </c>
      <c r="J125" s="39">
        <f>'Input Data'!I132</f>
        <v>0</v>
      </c>
      <c r="K125" s="117">
        <f t="shared" si="9"/>
        <v>0</v>
      </c>
      <c r="L125" s="114" t="str">
        <f t="shared" si="9"/>
        <v>Tercapai</v>
      </c>
    </row>
    <row r="126" spans="1:12" ht="15.75" customHeight="1" x14ac:dyDescent="0.25">
      <c r="A126" s="123" t="str">
        <f t="shared" si="10"/>
        <v>Minggu ke-4</v>
      </c>
      <c r="B126" s="115" t="str">
        <f t="shared" si="10"/>
        <v>Selasa</v>
      </c>
      <c r="C126" s="116"/>
      <c r="D126" s="117">
        <f t="shared" si="8"/>
        <v>4</v>
      </c>
      <c r="E126" s="49">
        <f>'Input Data'!E133</f>
        <v>0</v>
      </c>
      <c r="F126" s="49" t="str">
        <f>IFERROR(VLOOKUP(E126,'Input Data'!$K$15:$L$24,2,0),"")</f>
        <v/>
      </c>
      <c r="G126" s="49">
        <f>'Input Data'!F133</f>
        <v>0</v>
      </c>
      <c r="H126" s="50">
        <f>'Input Data'!G133</f>
        <v>0</v>
      </c>
      <c r="I126" s="50">
        <f>'Input Data'!H133</f>
        <v>0</v>
      </c>
      <c r="J126" s="39">
        <f>'Input Data'!I133</f>
        <v>0</v>
      </c>
      <c r="K126" s="117">
        <f t="shared" si="9"/>
        <v>0</v>
      </c>
      <c r="L126" s="114" t="str">
        <f t="shared" si="9"/>
        <v>Tercapai</v>
      </c>
    </row>
    <row r="127" spans="1:12" ht="15.75" customHeight="1" x14ac:dyDescent="0.25">
      <c r="A127" s="123" t="str">
        <f t="shared" si="10"/>
        <v>Minggu ke-4</v>
      </c>
      <c r="B127" s="115" t="str">
        <f>'Input Data'!B134</f>
        <v>Rabu</v>
      </c>
      <c r="C127" s="116">
        <f>'Input Data'!C134</f>
        <v>43761</v>
      </c>
      <c r="D127" s="117">
        <f>'Input Data'!D134</f>
        <v>3</v>
      </c>
      <c r="E127" s="49" t="str">
        <f>'Input Data'!E134</f>
        <v>KR</v>
      </c>
      <c r="F127" s="49">
        <f>IFERROR(VLOOKUP(E127,'Input Data'!$K$15:$L$24,2,0),"")</f>
        <v>10</v>
      </c>
      <c r="G127" s="49">
        <f>'Input Data'!F134</f>
        <v>328</v>
      </c>
      <c r="H127" s="50">
        <f>'Input Data'!G134</f>
        <v>3991</v>
      </c>
      <c r="I127" s="50">
        <f>'Input Data'!H134</f>
        <v>0</v>
      </c>
      <c r="J127" s="39" t="str">
        <f>'Input Data'!I134</f>
        <v>-</v>
      </c>
      <c r="K127" s="117">
        <f>SUM(I127:I132)</f>
        <v>0</v>
      </c>
      <c r="L127" s="114" t="str">
        <f>IF(K127&lt;=0,"Tercapai","Tidak Tercapai")</f>
        <v>Tercapai</v>
      </c>
    </row>
    <row r="128" spans="1:12" ht="15.75" customHeight="1" x14ac:dyDescent="0.25">
      <c r="A128" s="123" t="str">
        <f t="shared" si="10"/>
        <v>Minggu ke-4</v>
      </c>
      <c r="B128" s="115" t="str">
        <f>B127</f>
        <v>Rabu</v>
      </c>
      <c r="C128" s="116"/>
      <c r="D128" s="117">
        <f t="shared" si="8"/>
        <v>3</v>
      </c>
      <c r="E128" s="49" t="str">
        <f>'Input Data'!E135</f>
        <v>AJ</v>
      </c>
      <c r="F128" s="49">
        <f>IFERROR(VLOOKUP(E128,'Input Data'!$K$15:$L$24,2,0),"")</f>
        <v>2</v>
      </c>
      <c r="G128" s="49">
        <f>'Input Data'!F135</f>
        <v>327</v>
      </c>
      <c r="H128" s="50">
        <f>'Input Data'!G135</f>
        <v>4437</v>
      </c>
      <c r="I128" s="50">
        <f>'Input Data'!H135</f>
        <v>0</v>
      </c>
      <c r="J128" s="39" t="str">
        <f>'Input Data'!I135</f>
        <v>-</v>
      </c>
      <c r="K128" s="117">
        <f t="shared" si="9"/>
        <v>0</v>
      </c>
      <c r="L128" s="114" t="str">
        <f>L127</f>
        <v>Tercapai</v>
      </c>
    </row>
    <row r="129" spans="1:12" ht="15.75" customHeight="1" x14ac:dyDescent="0.25">
      <c r="A129" s="123" t="str">
        <f t="shared" si="10"/>
        <v>Minggu ke-4</v>
      </c>
      <c r="B129" s="115" t="str">
        <f t="shared" si="10"/>
        <v>Rabu</v>
      </c>
      <c r="C129" s="116"/>
      <c r="D129" s="117">
        <f t="shared" si="8"/>
        <v>3</v>
      </c>
      <c r="E129" s="49" t="str">
        <f>'Input Data'!E136</f>
        <v>CT</v>
      </c>
      <c r="F129" s="49">
        <f>IFERROR(VLOOKUP(E129,'Input Data'!$K$15:$L$24,2,0),"")</f>
        <v>9</v>
      </c>
      <c r="G129" s="49">
        <f>'Input Data'!F136</f>
        <v>329</v>
      </c>
      <c r="H129" s="50">
        <f>'Input Data'!G136</f>
        <v>3943</v>
      </c>
      <c r="I129" s="50">
        <f>'Input Data'!H136</f>
        <v>0</v>
      </c>
      <c r="J129" s="39" t="str">
        <f>'Input Data'!I136</f>
        <v>-</v>
      </c>
      <c r="K129" s="117">
        <f t="shared" si="9"/>
        <v>0</v>
      </c>
      <c r="L129" s="114" t="str">
        <f t="shared" si="9"/>
        <v>Tercapai</v>
      </c>
    </row>
    <row r="130" spans="1:12" ht="15.75" customHeight="1" x14ac:dyDescent="0.25">
      <c r="A130" s="123" t="str">
        <f t="shared" si="10"/>
        <v>Minggu ke-4</v>
      </c>
      <c r="B130" s="115" t="str">
        <f t="shared" si="10"/>
        <v>Rabu</v>
      </c>
      <c r="C130" s="116"/>
      <c r="D130" s="117">
        <f t="shared" si="8"/>
        <v>3</v>
      </c>
      <c r="E130" s="49">
        <f>'Input Data'!E137</f>
        <v>0</v>
      </c>
      <c r="F130" s="49" t="str">
        <f>IFERROR(VLOOKUP(E130,'Input Data'!$K$15:$L$24,2,0),"")</f>
        <v/>
      </c>
      <c r="G130" s="49">
        <f>'Input Data'!F137</f>
        <v>0</v>
      </c>
      <c r="H130" s="50">
        <f>'Input Data'!G137</f>
        <v>0</v>
      </c>
      <c r="I130" s="50">
        <f>'Input Data'!H137</f>
        <v>0</v>
      </c>
      <c r="J130" s="39">
        <f>'Input Data'!I137</f>
        <v>0</v>
      </c>
      <c r="K130" s="117">
        <f t="shared" si="9"/>
        <v>0</v>
      </c>
      <c r="L130" s="114" t="str">
        <f t="shared" si="9"/>
        <v>Tercapai</v>
      </c>
    </row>
    <row r="131" spans="1:12" ht="15.75" customHeight="1" x14ac:dyDescent="0.25">
      <c r="A131" s="123" t="str">
        <f t="shared" si="10"/>
        <v>Minggu ke-4</v>
      </c>
      <c r="B131" s="115" t="str">
        <f t="shared" si="10"/>
        <v>Rabu</v>
      </c>
      <c r="C131" s="116"/>
      <c r="D131" s="117">
        <f t="shared" si="8"/>
        <v>3</v>
      </c>
      <c r="E131" s="49">
        <f>'Input Data'!E138</f>
        <v>0</v>
      </c>
      <c r="F131" s="49" t="str">
        <f>IFERROR(VLOOKUP(E131,'Input Data'!$K$15:$L$24,2,0),"")</f>
        <v/>
      </c>
      <c r="G131" s="49">
        <f>'Input Data'!F138</f>
        <v>0</v>
      </c>
      <c r="H131" s="50">
        <f>'Input Data'!G138</f>
        <v>0</v>
      </c>
      <c r="I131" s="50">
        <f>'Input Data'!H138</f>
        <v>0</v>
      </c>
      <c r="J131" s="39">
        <f>'Input Data'!I138</f>
        <v>0</v>
      </c>
      <c r="K131" s="117">
        <f t="shared" si="9"/>
        <v>0</v>
      </c>
      <c r="L131" s="114" t="str">
        <f t="shared" si="9"/>
        <v>Tercapai</v>
      </c>
    </row>
    <row r="132" spans="1:12" ht="15.75" customHeight="1" x14ac:dyDescent="0.25">
      <c r="A132" s="123" t="str">
        <f t="shared" si="10"/>
        <v>Minggu ke-4</v>
      </c>
      <c r="B132" s="115" t="str">
        <f t="shared" si="10"/>
        <v>Rabu</v>
      </c>
      <c r="C132" s="116"/>
      <c r="D132" s="117">
        <f t="shared" si="8"/>
        <v>3</v>
      </c>
      <c r="E132" s="49">
        <f>'Input Data'!E139</f>
        <v>0</v>
      </c>
      <c r="F132" s="49" t="str">
        <f>IFERROR(VLOOKUP(E132,'Input Data'!$K$15:$L$24,2,0),"")</f>
        <v/>
      </c>
      <c r="G132" s="49">
        <f>'Input Data'!F139</f>
        <v>0</v>
      </c>
      <c r="H132" s="50">
        <f>'Input Data'!G139</f>
        <v>0</v>
      </c>
      <c r="I132" s="50">
        <f>'Input Data'!H139</f>
        <v>0</v>
      </c>
      <c r="J132" s="39">
        <f>'Input Data'!I139</f>
        <v>0</v>
      </c>
      <c r="K132" s="117">
        <f t="shared" si="9"/>
        <v>0</v>
      </c>
      <c r="L132" s="114" t="str">
        <f t="shared" si="9"/>
        <v>Tercapai</v>
      </c>
    </row>
    <row r="133" spans="1:12" ht="15.75" customHeight="1" x14ac:dyDescent="0.25">
      <c r="A133" s="123" t="str">
        <f t="shared" si="10"/>
        <v>Minggu ke-4</v>
      </c>
      <c r="B133" s="115" t="str">
        <f>'Input Data'!B140</f>
        <v>Kamis</v>
      </c>
      <c r="C133" s="116">
        <f>'Input Data'!C140</f>
        <v>43762</v>
      </c>
      <c r="D133" s="117">
        <f>'Input Data'!D140</f>
        <v>4</v>
      </c>
      <c r="E133" s="49" t="str">
        <f>'Input Data'!E140</f>
        <v>AJ</v>
      </c>
      <c r="F133" s="49">
        <f>IFERROR(VLOOKUP(E133,'Input Data'!$K$15:$L$24,2,0),"")</f>
        <v>2</v>
      </c>
      <c r="G133" s="49">
        <f>'Input Data'!F140</f>
        <v>195</v>
      </c>
      <c r="H133" s="50">
        <f>'Input Data'!G140</f>
        <v>3813</v>
      </c>
      <c r="I133" s="50">
        <f>'Input Data'!H140</f>
        <v>0</v>
      </c>
      <c r="J133" s="39" t="str">
        <f>'Input Data'!I140</f>
        <v>-</v>
      </c>
      <c r="K133" s="117">
        <f>SUM(I133:I138)</f>
        <v>1</v>
      </c>
      <c r="L133" s="114" t="str">
        <f>IF(K133&lt;=0,"Tercapai","Tidak Tercapai")</f>
        <v>Tidak Tercapai</v>
      </c>
    </row>
    <row r="134" spans="1:12" ht="15.75" customHeight="1" x14ac:dyDescent="0.25">
      <c r="A134" s="123" t="str">
        <f t="shared" si="10"/>
        <v>Minggu ke-4</v>
      </c>
      <c r="B134" s="115" t="str">
        <f>B133</f>
        <v>Kamis</v>
      </c>
      <c r="C134" s="116"/>
      <c r="D134" s="117">
        <f t="shared" si="8"/>
        <v>4</v>
      </c>
      <c r="E134" s="49" t="str">
        <f>'Input Data'!E141</f>
        <v>AJ</v>
      </c>
      <c r="F134" s="49">
        <f>IFERROR(VLOOKUP(E134,'Input Data'!$K$15:$L$24,2,0),"")</f>
        <v>2</v>
      </c>
      <c r="G134" s="49">
        <f>'Input Data'!F141</f>
        <v>327</v>
      </c>
      <c r="H134" s="50">
        <f>'Input Data'!G141</f>
        <v>4438</v>
      </c>
      <c r="I134" s="50">
        <f>'Input Data'!H141</f>
        <v>0</v>
      </c>
      <c r="J134" s="39" t="str">
        <f>'Input Data'!I141</f>
        <v>-</v>
      </c>
      <c r="K134" s="117">
        <f t="shared" si="9"/>
        <v>1</v>
      </c>
      <c r="L134" s="114" t="str">
        <f>L133</f>
        <v>Tidak Tercapai</v>
      </c>
    </row>
    <row r="135" spans="1:12" ht="15.75" customHeight="1" x14ac:dyDescent="0.25">
      <c r="A135" s="123" t="str">
        <f t="shared" si="10"/>
        <v>Minggu ke-4</v>
      </c>
      <c r="B135" s="115" t="str">
        <f t="shared" si="10"/>
        <v>Kamis</v>
      </c>
      <c r="C135" s="116"/>
      <c r="D135" s="117">
        <f t="shared" si="8"/>
        <v>4</v>
      </c>
      <c r="E135" s="49" t="str">
        <f>'Input Data'!E142</f>
        <v>AJ</v>
      </c>
      <c r="F135" s="49">
        <f>IFERROR(VLOOKUP(E135,'Input Data'!$K$15:$L$24,2,0),"")</f>
        <v>2</v>
      </c>
      <c r="G135" s="49">
        <f>'Input Data'!F142</f>
        <v>327</v>
      </c>
      <c r="H135" s="50">
        <f>'Input Data'!G142</f>
        <v>4434</v>
      </c>
      <c r="I135" s="50">
        <f>'Input Data'!H142</f>
        <v>1</v>
      </c>
      <c r="J135" s="39">
        <f>'Input Data'!I142</f>
        <v>2</v>
      </c>
      <c r="K135" s="117">
        <f t="shared" si="9"/>
        <v>1</v>
      </c>
      <c r="L135" s="114" t="str">
        <f t="shared" si="9"/>
        <v>Tidak Tercapai</v>
      </c>
    </row>
    <row r="136" spans="1:12" ht="15.75" customHeight="1" x14ac:dyDescent="0.25">
      <c r="A136" s="123" t="str">
        <f t="shared" si="10"/>
        <v>Minggu ke-4</v>
      </c>
      <c r="B136" s="115" t="str">
        <f t="shared" si="10"/>
        <v>Kamis</v>
      </c>
      <c r="C136" s="116"/>
      <c r="D136" s="117">
        <f t="shared" si="8"/>
        <v>4</v>
      </c>
      <c r="E136" s="49" t="str">
        <f>'Input Data'!E143</f>
        <v>AJ</v>
      </c>
      <c r="F136" s="49">
        <f>IFERROR(VLOOKUP(E136,'Input Data'!$K$15:$L$24,2,0),"")</f>
        <v>2</v>
      </c>
      <c r="G136" s="49">
        <f>'Input Data'!F143</f>
        <v>190</v>
      </c>
      <c r="H136" s="50">
        <f>'Input Data'!G143</f>
        <v>4375</v>
      </c>
      <c r="I136" s="50">
        <f>'Input Data'!H143</f>
        <v>0</v>
      </c>
      <c r="J136" s="39" t="str">
        <f>'Input Data'!I143</f>
        <v>-</v>
      </c>
      <c r="K136" s="117">
        <f t="shared" si="9"/>
        <v>1</v>
      </c>
      <c r="L136" s="114" t="str">
        <f t="shared" si="9"/>
        <v>Tidak Tercapai</v>
      </c>
    </row>
    <row r="137" spans="1:12" ht="15.75" customHeight="1" x14ac:dyDescent="0.25">
      <c r="A137" s="123" t="str">
        <f t="shared" si="10"/>
        <v>Minggu ke-4</v>
      </c>
      <c r="B137" s="115" t="str">
        <f t="shared" si="10"/>
        <v>Kamis</v>
      </c>
      <c r="C137" s="116"/>
      <c r="D137" s="117">
        <f t="shared" si="8"/>
        <v>4</v>
      </c>
      <c r="E137" s="49">
        <f>'Input Data'!E144</f>
        <v>0</v>
      </c>
      <c r="F137" s="49" t="str">
        <f>IFERROR(VLOOKUP(E137,'Input Data'!$K$15:$L$24,2,0),"")</f>
        <v/>
      </c>
      <c r="G137" s="49">
        <f>'Input Data'!F144</f>
        <v>0</v>
      </c>
      <c r="H137" s="50">
        <f>'Input Data'!G144</f>
        <v>0</v>
      </c>
      <c r="I137" s="50">
        <f>'Input Data'!H144</f>
        <v>0</v>
      </c>
      <c r="J137" s="39">
        <f>'Input Data'!I144</f>
        <v>0</v>
      </c>
      <c r="K137" s="117">
        <f t="shared" si="9"/>
        <v>1</v>
      </c>
      <c r="L137" s="114" t="str">
        <f t="shared" si="9"/>
        <v>Tidak Tercapai</v>
      </c>
    </row>
    <row r="138" spans="1:12" ht="15.75" customHeight="1" x14ac:dyDescent="0.25">
      <c r="A138" s="123" t="str">
        <f t="shared" si="10"/>
        <v>Minggu ke-4</v>
      </c>
      <c r="B138" s="115" t="str">
        <f t="shared" si="10"/>
        <v>Kamis</v>
      </c>
      <c r="C138" s="116"/>
      <c r="D138" s="117">
        <f t="shared" si="8"/>
        <v>4</v>
      </c>
      <c r="E138" s="49">
        <f>'Input Data'!E145</f>
        <v>0</v>
      </c>
      <c r="F138" s="49" t="str">
        <f>IFERROR(VLOOKUP(E138,'Input Data'!$K$15:$L$24,2,0),"")</f>
        <v/>
      </c>
      <c r="G138" s="49">
        <f>'Input Data'!F145</f>
        <v>0</v>
      </c>
      <c r="H138" s="50">
        <f>'Input Data'!G145</f>
        <v>0</v>
      </c>
      <c r="I138" s="50">
        <f>'Input Data'!H145</f>
        <v>0</v>
      </c>
      <c r="J138" s="39">
        <f>'Input Data'!I145</f>
        <v>0</v>
      </c>
      <c r="K138" s="117">
        <f t="shared" si="9"/>
        <v>1</v>
      </c>
      <c r="L138" s="114" t="str">
        <f t="shared" si="9"/>
        <v>Tidak Tercapai</v>
      </c>
    </row>
    <row r="139" spans="1:12" ht="15.75" customHeight="1" x14ac:dyDescent="0.25">
      <c r="A139" s="123" t="str">
        <f t="shared" si="10"/>
        <v>Minggu ke-4</v>
      </c>
      <c r="B139" s="115" t="str">
        <f>'Input Data'!B146</f>
        <v>Jum'at</v>
      </c>
      <c r="C139" s="116">
        <f>'Input Data'!C146</f>
        <v>43763</v>
      </c>
      <c r="D139" s="117">
        <f>'Input Data'!D146</f>
        <v>4</v>
      </c>
      <c r="E139" s="49" t="str">
        <f>'Input Data'!E146</f>
        <v>AJ</v>
      </c>
      <c r="F139" s="49">
        <f>IFERROR(VLOOKUP(E139,'Input Data'!$K$15:$L$24,2,0),"")</f>
        <v>2</v>
      </c>
      <c r="G139" s="49">
        <f>'Input Data'!F146</f>
        <v>327</v>
      </c>
      <c r="H139" s="50">
        <f>'Input Data'!G146</f>
        <v>4434</v>
      </c>
      <c r="I139" s="50">
        <f>'Input Data'!H146</f>
        <v>0</v>
      </c>
      <c r="J139" s="39" t="str">
        <f>'Input Data'!I146</f>
        <v>-</v>
      </c>
      <c r="K139" s="117">
        <f>SUM(I139:I144)</f>
        <v>0</v>
      </c>
      <c r="L139" s="114" t="str">
        <f>IF(K139&lt;=0,"Tercapai","Tidak Tercapai")</f>
        <v>Tercapai</v>
      </c>
    </row>
    <row r="140" spans="1:12" ht="15.75" customHeight="1" x14ac:dyDescent="0.25">
      <c r="A140" s="123" t="str">
        <f t="shared" si="10"/>
        <v>Minggu ke-4</v>
      </c>
      <c r="B140" s="115" t="str">
        <f>B139</f>
        <v>Jum'at</v>
      </c>
      <c r="C140" s="116"/>
      <c r="D140" s="117">
        <f t="shared" si="8"/>
        <v>4</v>
      </c>
      <c r="E140" s="49" t="str">
        <f>'Input Data'!E147</f>
        <v>AJ</v>
      </c>
      <c r="F140" s="49">
        <f>IFERROR(VLOOKUP(E140,'Input Data'!$K$15:$L$24,2,0),"")</f>
        <v>2</v>
      </c>
      <c r="G140" s="49">
        <f>'Input Data'!F147</f>
        <v>318</v>
      </c>
      <c r="H140" s="50">
        <f>'Input Data'!G147</f>
        <v>4443</v>
      </c>
      <c r="I140" s="50">
        <f>'Input Data'!H147</f>
        <v>0</v>
      </c>
      <c r="J140" s="39" t="str">
        <f>'Input Data'!I147</f>
        <v>-</v>
      </c>
      <c r="K140" s="117">
        <f t="shared" si="9"/>
        <v>0</v>
      </c>
      <c r="L140" s="114" t="str">
        <f>L139</f>
        <v>Tercapai</v>
      </c>
    </row>
    <row r="141" spans="1:12" ht="15.75" customHeight="1" x14ac:dyDescent="0.25">
      <c r="A141" s="123" t="str">
        <f t="shared" si="10"/>
        <v>Minggu ke-4</v>
      </c>
      <c r="B141" s="115" t="str">
        <f t="shared" si="10"/>
        <v>Jum'at</v>
      </c>
      <c r="C141" s="116"/>
      <c r="D141" s="117">
        <f t="shared" si="8"/>
        <v>4</v>
      </c>
      <c r="E141" s="49" t="str">
        <f>'Input Data'!E148</f>
        <v>AJ</v>
      </c>
      <c r="F141" s="49">
        <f>IFERROR(VLOOKUP(E141,'Input Data'!$K$15:$L$24,2,0),"")</f>
        <v>2</v>
      </c>
      <c r="G141" s="49">
        <f>'Input Data'!F148</f>
        <v>327</v>
      </c>
      <c r="H141" s="50">
        <f>'Input Data'!G148</f>
        <v>4435</v>
      </c>
      <c r="I141" s="50">
        <f>'Input Data'!H148</f>
        <v>0</v>
      </c>
      <c r="J141" s="39" t="str">
        <f>'Input Data'!I148</f>
        <v>-</v>
      </c>
      <c r="K141" s="117">
        <f t="shared" si="9"/>
        <v>0</v>
      </c>
      <c r="L141" s="114" t="str">
        <f t="shared" si="9"/>
        <v>Tercapai</v>
      </c>
    </row>
    <row r="142" spans="1:12" ht="15.75" customHeight="1" x14ac:dyDescent="0.25">
      <c r="A142" s="123" t="str">
        <f t="shared" si="10"/>
        <v>Minggu ke-4</v>
      </c>
      <c r="B142" s="115" t="str">
        <f t="shared" si="10"/>
        <v>Jum'at</v>
      </c>
      <c r="C142" s="116"/>
      <c r="D142" s="117">
        <f t="shared" si="8"/>
        <v>4</v>
      </c>
      <c r="E142" s="49" t="str">
        <f>'Input Data'!E149</f>
        <v>SD</v>
      </c>
      <c r="F142" s="49">
        <f>IFERROR(VLOOKUP(E142,'Input Data'!$K$15:$L$24,2,0),"")</f>
        <v>1</v>
      </c>
      <c r="G142" s="49">
        <f>'Input Data'!F149</f>
        <v>198</v>
      </c>
      <c r="H142" s="50">
        <f>'Input Data'!G149</f>
        <v>4228</v>
      </c>
      <c r="I142" s="50">
        <f>'Input Data'!H149</f>
        <v>0</v>
      </c>
      <c r="J142" s="39" t="str">
        <f>'Input Data'!I149</f>
        <v>-</v>
      </c>
      <c r="K142" s="117">
        <f t="shared" si="9"/>
        <v>0</v>
      </c>
      <c r="L142" s="114" t="str">
        <f t="shared" si="9"/>
        <v>Tercapai</v>
      </c>
    </row>
    <row r="143" spans="1:12" ht="15.75" customHeight="1" x14ac:dyDescent="0.25">
      <c r="A143" s="123" t="str">
        <f t="shared" si="10"/>
        <v>Minggu ke-4</v>
      </c>
      <c r="B143" s="115" t="str">
        <f t="shared" si="10"/>
        <v>Jum'at</v>
      </c>
      <c r="C143" s="116"/>
      <c r="D143" s="117">
        <f t="shared" si="8"/>
        <v>4</v>
      </c>
      <c r="E143" s="49">
        <f>'Input Data'!E150</f>
        <v>0</v>
      </c>
      <c r="F143" s="49" t="str">
        <f>IFERROR(VLOOKUP(E143,'Input Data'!$K$15:$L$24,2,0),"")</f>
        <v/>
      </c>
      <c r="G143" s="49">
        <f>'Input Data'!F150</f>
        <v>0</v>
      </c>
      <c r="H143" s="50">
        <f>'Input Data'!G150</f>
        <v>0</v>
      </c>
      <c r="I143" s="50">
        <f>'Input Data'!H150</f>
        <v>0</v>
      </c>
      <c r="J143" s="39">
        <f>'Input Data'!I150</f>
        <v>0</v>
      </c>
      <c r="K143" s="117">
        <f t="shared" si="9"/>
        <v>0</v>
      </c>
      <c r="L143" s="114" t="str">
        <f t="shared" si="9"/>
        <v>Tercapai</v>
      </c>
    </row>
    <row r="144" spans="1:12" ht="15.75" customHeight="1" x14ac:dyDescent="0.25">
      <c r="A144" s="123" t="str">
        <f t="shared" si="10"/>
        <v>Minggu ke-4</v>
      </c>
      <c r="B144" s="115" t="str">
        <f t="shared" si="10"/>
        <v>Jum'at</v>
      </c>
      <c r="C144" s="116"/>
      <c r="D144" s="117">
        <f t="shared" si="8"/>
        <v>4</v>
      </c>
      <c r="E144" s="49">
        <f>'Input Data'!E151</f>
        <v>0</v>
      </c>
      <c r="F144" s="49" t="str">
        <f>IFERROR(VLOOKUP(E144,'Input Data'!$K$15:$L$24,2,0),"")</f>
        <v/>
      </c>
      <c r="G144" s="49">
        <f>'Input Data'!F151</f>
        <v>0</v>
      </c>
      <c r="H144" s="50">
        <f>'Input Data'!G151</f>
        <v>0</v>
      </c>
      <c r="I144" s="50">
        <f>'Input Data'!H151</f>
        <v>0</v>
      </c>
      <c r="J144" s="39">
        <f>'Input Data'!I151</f>
        <v>0</v>
      </c>
      <c r="K144" s="117">
        <f t="shared" si="9"/>
        <v>0</v>
      </c>
      <c r="L144" s="114" t="str">
        <f t="shared" si="9"/>
        <v>Tercapai</v>
      </c>
    </row>
    <row r="145" spans="1:12" ht="15.75" customHeight="1" x14ac:dyDescent="0.25">
      <c r="A145" s="123" t="str">
        <f t="shared" si="10"/>
        <v>Minggu ke-4</v>
      </c>
      <c r="B145" s="115" t="str">
        <f>'Input Data'!B152</f>
        <v>Sabtu</v>
      </c>
      <c r="C145" s="116">
        <f>'Input Data'!C152</f>
        <v>43764</v>
      </c>
      <c r="D145" s="117">
        <f>'Input Data'!D152</f>
        <v>2</v>
      </c>
      <c r="E145" s="49" t="str">
        <f>'Input Data'!E152</f>
        <v>AJ</v>
      </c>
      <c r="F145" s="49">
        <f>IFERROR(VLOOKUP(E145,'Input Data'!$K$15:$L$24,2,0),"")</f>
        <v>2</v>
      </c>
      <c r="G145" s="49">
        <f>'Input Data'!F152</f>
        <v>327</v>
      </c>
      <c r="H145" s="50">
        <f>'Input Data'!G152</f>
        <v>4439</v>
      </c>
      <c r="I145" s="50">
        <f>'Input Data'!H152</f>
        <v>0</v>
      </c>
      <c r="J145" s="39" t="str">
        <f>'Input Data'!I152</f>
        <v>-</v>
      </c>
      <c r="K145" s="117">
        <f>SUM(I145:I150)</f>
        <v>0</v>
      </c>
      <c r="L145" s="114" t="str">
        <f>IF(K145&lt;=0,"Tercapai","Tidak Tercapai")</f>
        <v>Tercapai</v>
      </c>
    </row>
    <row r="146" spans="1:12" ht="15.75" customHeight="1" x14ac:dyDescent="0.25">
      <c r="A146" s="123" t="str">
        <f t="shared" si="10"/>
        <v>Minggu ke-4</v>
      </c>
      <c r="B146" s="115" t="str">
        <f>B145</f>
        <v>Sabtu</v>
      </c>
      <c r="C146" s="116"/>
      <c r="D146" s="117">
        <f t="shared" si="8"/>
        <v>2</v>
      </c>
      <c r="E146" s="49" t="str">
        <f>'Input Data'!E153</f>
        <v>BJ</v>
      </c>
      <c r="F146" s="49">
        <f>IFERROR(VLOOKUP(E146,'Input Data'!$K$15:$L$24,2,0),"")</f>
        <v>6</v>
      </c>
      <c r="G146" s="49">
        <f>'Input Data'!F153</f>
        <v>137</v>
      </c>
      <c r="H146" s="50">
        <f>'Input Data'!G153</f>
        <v>4427</v>
      </c>
      <c r="I146" s="50">
        <f>'Input Data'!H153</f>
        <v>0</v>
      </c>
      <c r="J146" s="39" t="str">
        <f>'Input Data'!I153</f>
        <v>-</v>
      </c>
      <c r="K146" s="117">
        <f t="shared" si="9"/>
        <v>0</v>
      </c>
      <c r="L146" s="114" t="str">
        <f>L145</f>
        <v>Tercapai</v>
      </c>
    </row>
    <row r="147" spans="1:12" ht="15.75" customHeight="1" x14ac:dyDescent="0.25">
      <c r="A147" s="123" t="str">
        <f t="shared" si="10"/>
        <v>Minggu ke-4</v>
      </c>
      <c r="B147" s="115" t="str">
        <f t="shared" si="10"/>
        <v>Sabtu</v>
      </c>
      <c r="C147" s="116"/>
      <c r="D147" s="117">
        <f t="shared" si="8"/>
        <v>2</v>
      </c>
      <c r="E147" s="49">
        <f>'Input Data'!E154</f>
        <v>0</v>
      </c>
      <c r="F147" s="49" t="str">
        <f>IFERROR(VLOOKUP(E147,'Input Data'!$K$15:$L$24,2,0),"")</f>
        <v/>
      </c>
      <c r="G147" s="49">
        <f>'Input Data'!F154</f>
        <v>0</v>
      </c>
      <c r="H147" s="50">
        <f>'Input Data'!G154</f>
        <v>0</v>
      </c>
      <c r="I147" s="50">
        <f>'Input Data'!H154</f>
        <v>0</v>
      </c>
      <c r="J147" s="39">
        <f>'Input Data'!I154</f>
        <v>0</v>
      </c>
      <c r="K147" s="117">
        <f t="shared" si="9"/>
        <v>0</v>
      </c>
      <c r="L147" s="114" t="str">
        <f t="shared" si="9"/>
        <v>Tercapai</v>
      </c>
    </row>
    <row r="148" spans="1:12" ht="15.75" customHeight="1" x14ac:dyDescent="0.25">
      <c r="A148" s="123" t="str">
        <f t="shared" si="10"/>
        <v>Minggu ke-4</v>
      </c>
      <c r="B148" s="115" t="str">
        <f t="shared" si="10"/>
        <v>Sabtu</v>
      </c>
      <c r="C148" s="116"/>
      <c r="D148" s="117">
        <f t="shared" si="8"/>
        <v>2</v>
      </c>
      <c r="E148" s="49">
        <f>'Input Data'!E155</f>
        <v>0</v>
      </c>
      <c r="F148" s="49" t="str">
        <f>IFERROR(VLOOKUP(E148,'Input Data'!$K$15:$L$24,2,0),"")</f>
        <v/>
      </c>
      <c r="G148" s="49">
        <f>'Input Data'!F155</f>
        <v>0</v>
      </c>
      <c r="H148" s="50">
        <f>'Input Data'!G155</f>
        <v>0</v>
      </c>
      <c r="I148" s="50">
        <f>'Input Data'!H155</f>
        <v>0</v>
      </c>
      <c r="J148" s="39">
        <f>'Input Data'!I155</f>
        <v>0</v>
      </c>
      <c r="K148" s="117">
        <f t="shared" si="9"/>
        <v>0</v>
      </c>
      <c r="L148" s="114" t="str">
        <f t="shared" si="9"/>
        <v>Tercapai</v>
      </c>
    </row>
    <row r="149" spans="1:12" x14ac:dyDescent="0.25">
      <c r="A149" s="123" t="str">
        <f t="shared" si="10"/>
        <v>Minggu ke-4</v>
      </c>
      <c r="B149" s="115" t="str">
        <f t="shared" si="10"/>
        <v>Sabtu</v>
      </c>
      <c r="C149" s="116"/>
      <c r="D149" s="117">
        <f t="shared" si="8"/>
        <v>2</v>
      </c>
      <c r="E149" s="49">
        <f>'Input Data'!E156</f>
        <v>0</v>
      </c>
      <c r="F149" s="49" t="str">
        <f>IFERROR(VLOOKUP(E149,'Input Data'!$K$15:$L$24,2,0),"")</f>
        <v/>
      </c>
      <c r="G149" s="49">
        <f>'Input Data'!F156</f>
        <v>0</v>
      </c>
      <c r="H149" s="50">
        <f>'Input Data'!G156</f>
        <v>0</v>
      </c>
      <c r="I149" s="50">
        <f>'Input Data'!H156</f>
        <v>0</v>
      </c>
      <c r="J149" s="39">
        <f>'Input Data'!I156</f>
        <v>0</v>
      </c>
      <c r="K149" s="117">
        <f t="shared" si="9"/>
        <v>0</v>
      </c>
      <c r="L149" s="114" t="str">
        <f t="shared" si="9"/>
        <v>Tercapai</v>
      </c>
    </row>
    <row r="150" spans="1:12" ht="15.75" thickBot="1" x14ac:dyDescent="0.3">
      <c r="A150" s="124" t="str">
        <f t="shared" si="10"/>
        <v>Minggu ke-4</v>
      </c>
      <c r="B150" s="126" t="str">
        <f t="shared" si="10"/>
        <v>Sabtu</v>
      </c>
      <c r="C150" s="129"/>
      <c r="D150" s="130">
        <f t="shared" si="8"/>
        <v>2</v>
      </c>
      <c r="E150" s="51">
        <f>'Input Data'!E157</f>
        <v>0</v>
      </c>
      <c r="F150" s="51" t="str">
        <f>IFERROR(VLOOKUP(E150,'Input Data'!$K$15:$L$24,2,0),"")</f>
        <v/>
      </c>
      <c r="G150" s="51">
        <f>'Input Data'!F157</f>
        <v>0</v>
      </c>
      <c r="H150" s="34">
        <f>'Input Data'!G157</f>
        <v>0</v>
      </c>
      <c r="I150" s="34">
        <f>'Input Data'!H157</f>
        <v>0</v>
      </c>
      <c r="J150" s="56">
        <f>'Input Data'!I157</f>
        <v>0</v>
      </c>
      <c r="K150" s="130">
        <f t="shared" si="9"/>
        <v>0</v>
      </c>
      <c r="L150" s="118" t="str">
        <f t="shared" si="9"/>
        <v>Tercapai</v>
      </c>
    </row>
  </sheetData>
  <autoFilter ref="A5:L150" xr:uid="{EA2EF641-09F3-4802-9087-07454A254668}"/>
  <mergeCells count="138">
    <mergeCell ref="K13:K18"/>
    <mergeCell ref="L13:L18"/>
    <mergeCell ref="C2:K2"/>
    <mergeCell ref="C3:K3"/>
    <mergeCell ref="C7:C12"/>
    <mergeCell ref="D7:D12"/>
    <mergeCell ref="K7:K12"/>
    <mergeCell ref="L7:L12"/>
    <mergeCell ref="G5:G6"/>
    <mergeCell ref="H5:H6"/>
    <mergeCell ref="I5:I6"/>
    <mergeCell ref="K37:K42"/>
    <mergeCell ref="L37:L42"/>
    <mergeCell ref="C37:C42"/>
    <mergeCell ref="C19:C24"/>
    <mergeCell ref="D19:D24"/>
    <mergeCell ref="K19:K24"/>
    <mergeCell ref="L19:L24"/>
    <mergeCell ref="C25:C30"/>
    <mergeCell ref="D25:D30"/>
    <mergeCell ref="K25:K30"/>
    <mergeCell ref="L25:L30"/>
    <mergeCell ref="D37:D42"/>
    <mergeCell ref="L31:L36"/>
    <mergeCell ref="L43:L48"/>
    <mergeCell ref="B49:B54"/>
    <mergeCell ref="C49:C54"/>
    <mergeCell ref="D49:D54"/>
    <mergeCell ref="K49:K54"/>
    <mergeCell ref="L49:L54"/>
    <mergeCell ref="A43:A78"/>
    <mergeCell ref="B43:B48"/>
    <mergeCell ref="C43:C48"/>
    <mergeCell ref="D43:D48"/>
    <mergeCell ref="K43:K48"/>
    <mergeCell ref="K55:K60"/>
    <mergeCell ref="B55:B60"/>
    <mergeCell ref="C55:C60"/>
    <mergeCell ref="D55:D60"/>
    <mergeCell ref="D67:D72"/>
    <mergeCell ref="K67:K72"/>
    <mergeCell ref="L67:L72"/>
    <mergeCell ref="B73:B78"/>
    <mergeCell ref="C73:C78"/>
    <mergeCell ref="D73:D78"/>
    <mergeCell ref="K73:K78"/>
    <mergeCell ref="L73:L78"/>
    <mergeCell ref="L55:L60"/>
    <mergeCell ref="K61:K66"/>
    <mergeCell ref="L61:L66"/>
    <mergeCell ref="A79:A114"/>
    <mergeCell ref="B79:B84"/>
    <mergeCell ref="C79:C84"/>
    <mergeCell ref="D79:D84"/>
    <mergeCell ref="K79:K84"/>
    <mergeCell ref="B109:B114"/>
    <mergeCell ref="C109:C114"/>
    <mergeCell ref="D109:D114"/>
    <mergeCell ref="K109:K114"/>
    <mergeCell ref="B103:B108"/>
    <mergeCell ref="C103:C108"/>
    <mergeCell ref="D103:D108"/>
    <mergeCell ref="K103:K108"/>
    <mergeCell ref="B91:B96"/>
    <mergeCell ref="C91:C96"/>
    <mergeCell ref="D91:D96"/>
    <mergeCell ref="K91:K96"/>
    <mergeCell ref="B97:B102"/>
    <mergeCell ref="C97:C102"/>
    <mergeCell ref="K97:K102"/>
    <mergeCell ref="B85:B90"/>
    <mergeCell ref="C85:C90"/>
    <mergeCell ref="D85:D90"/>
    <mergeCell ref="A115:A150"/>
    <mergeCell ref="B115:B120"/>
    <mergeCell ref="C115:C120"/>
    <mergeCell ref="D115:D120"/>
    <mergeCell ref="K115:K120"/>
    <mergeCell ref="B127:B132"/>
    <mergeCell ref="C127:C132"/>
    <mergeCell ref="D127:D132"/>
    <mergeCell ref="K127:K132"/>
    <mergeCell ref="B145:B150"/>
    <mergeCell ref="C145:C150"/>
    <mergeCell ref="D145:D150"/>
    <mergeCell ref="K145:K150"/>
    <mergeCell ref="D133:D138"/>
    <mergeCell ref="K133:K138"/>
    <mergeCell ref="B139:B144"/>
    <mergeCell ref="C139:C144"/>
    <mergeCell ref="D139:D144"/>
    <mergeCell ref="K139:K144"/>
    <mergeCell ref="B121:B126"/>
    <mergeCell ref="A5:A6"/>
    <mergeCell ref="B5:B6"/>
    <mergeCell ref="C5:C6"/>
    <mergeCell ref="D5:D6"/>
    <mergeCell ref="E5:E6"/>
    <mergeCell ref="F5:F6"/>
    <mergeCell ref="A7:A42"/>
    <mergeCell ref="B7:B12"/>
    <mergeCell ref="B13:B18"/>
    <mergeCell ref="B19:B24"/>
    <mergeCell ref="B25:B30"/>
    <mergeCell ref="B31:B36"/>
    <mergeCell ref="B37:B42"/>
    <mergeCell ref="C31:C36"/>
    <mergeCell ref="D31:D36"/>
    <mergeCell ref="C13:C18"/>
    <mergeCell ref="D13:D18"/>
    <mergeCell ref="D97:D102"/>
    <mergeCell ref="B61:B66"/>
    <mergeCell ref="C61:C66"/>
    <mergeCell ref="D61:D66"/>
    <mergeCell ref="L127:L132"/>
    <mergeCell ref="B133:B138"/>
    <mergeCell ref="C133:C138"/>
    <mergeCell ref="C121:C126"/>
    <mergeCell ref="D121:D126"/>
    <mergeCell ref="K121:K126"/>
    <mergeCell ref="L121:L126"/>
    <mergeCell ref="L145:L150"/>
    <mergeCell ref="J5:J6"/>
    <mergeCell ref="K5:K6"/>
    <mergeCell ref="L5:L6"/>
    <mergeCell ref="K31:K36"/>
    <mergeCell ref="L109:L114"/>
    <mergeCell ref="L133:L138"/>
    <mergeCell ref="L139:L144"/>
    <mergeCell ref="L115:L120"/>
    <mergeCell ref="L97:L102"/>
    <mergeCell ref="L103:L108"/>
    <mergeCell ref="L85:L90"/>
    <mergeCell ref="L91:L96"/>
    <mergeCell ref="L79:L84"/>
    <mergeCell ref="K85:K90"/>
    <mergeCell ref="B67:B72"/>
    <mergeCell ref="C67:C72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5278D-54FF-4241-8884-B6BEA54883B7}">
  <sheetPr codeName="Sheet1"/>
  <dimension ref="B1:G36"/>
  <sheetViews>
    <sheetView topLeftCell="A46" zoomScale="85" zoomScaleNormal="85" workbookViewId="0">
      <selection activeCell="M73" sqref="M73"/>
    </sheetView>
  </sheetViews>
  <sheetFormatPr defaultRowHeight="15" x14ac:dyDescent="0.25"/>
  <cols>
    <col min="2" max="2" width="39.85546875" customWidth="1"/>
    <col min="3" max="3" width="18.28515625" customWidth="1"/>
    <col min="4" max="4" width="23.42578125" customWidth="1"/>
    <col min="5" max="5" width="16.42578125" customWidth="1"/>
    <col min="6" max="6" width="17.42578125" customWidth="1"/>
    <col min="7" max="7" width="10.42578125" customWidth="1"/>
    <col min="8" max="10" width="9.7109375" customWidth="1"/>
    <col min="11" max="11" width="9.85546875" customWidth="1"/>
    <col min="12" max="12" width="9.7109375" customWidth="1"/>
    <col min="13" max="13" width="9.85546875" customWidth="1"/>
    <col min="14" max="14" width="9.7109375" customWidth="1"/>
  </cols>
  <sheetData>
    <row r="1" spans="2:7" ht="15.75" thickBot="1" x14ac:dyDescent="0.3"/>
    <row r="2" spans="2:7" ht="15" customHeight="1" thickBot="1" x14ac:dyDescent="0.3">
      <c r="B2" s="138" t="s">
        <v>47</v>
      </c>
      <c r="C2" s="140"/>
      <c r="D2" s="140"/>
      <c r="E2" s="140"/>
      <c r="F2" s="140"/>
      <c r="G2" s="141"/>
    </row>
    <row r="3" spans="2:7" ht="30" customHeight="1" thickBot="1" x14ac:dyDescent="0.3">
      <c r="B3" s="139"/>
      <c r="C3" s="90" t="s">
        <v>9</v>
      </c>
      <c r="D3" s="66" t="s">
        <v>18</v>
      </c>
      <c r="E3" s="67" t="s">
        <v>11</v>
      </c>
      <c r="F3" s="68" t="s">
        <v>10</v>
      </c>
      <c r="G3" s="66" t="s">
        <v>44</v>
      </c>
    </row>
    <row r="4" spans="2:7" ht="30" customHeight="1" x14ac:dyDescent="0.25">
      <c r="B4" s="91" t="s">
        <v>30</v>
      </c>
      <c r="C4" s="84">
        <f>MODE('Aplikasi Perhitungan'!F7:F42)</f>
        <v>2</v>
      </c>
      <c r="D4" s="84" t="str">
        <f>IF(RIGHT(C4,1)="1","Sd",IF(RIGHT(C4,1)="2","AJ",IF(RIGHT(C4,1)="3","PA",IF(RIGHT(C4,1)="4","MK",IF(RIGHT(C4,1)="5","MT",IF(RIGHT(C4,1)="6","BJ",IF(RIGHT(C4,1)="7","HN",IF(RIGHT(C4,1)="8","TS",IF(RIGHT(C4,1)="9","CT",IF(RIGHT(C4,1)="10","KR"))))))))))</f>
        <v>AJ</v>
      </c>
      <c r="E4" s="84">
        <f>SUM('Aplikasi Perhitungan'!I7:I42)</f>
        <v>2</v>
      </c>
      <c r="F4" s="84" t="str">
        <f>IF(E4&lt;=0,"Tercapai","Tidak Tercapai")</f>
        <v>Tidak Tercapai</v>
      </c>
      <c r="G4" s="85">
        <f>SUM('Input Data'!D8:D43)</f>
        <v>17</v>
      </c>
    </row>
    <row r="5" spans="2:7" ht="30" customHeight="1" x14ac:dyDescent="0.25">
      <c r="B5" s="64" t="s">
        <v>31</v>
      </c>
      <c r="C5" s="86">
        <f>MODE('Aplikasi Perhitungan'!F43:F78)</f>
        <v>2</v>
      </c>
      <c r="D5" s="86" t="str">
        <f>IF(RIGHT(C5,1)="1","Sd",IF(RIGHT(C5,1)="2","AJ",IF(RIGHT(C5,1)="3","PA",IF(RIGHT(C5,1)="4","MK",IF(RIGHT(C5,1)="5","MT",IF(RIGHT(C5,1)="6","BJ",IF(RIGHT(C5,1)="7","HN",IF(RIGHT(C5,1)="8","TS",IF(RIGHT(C5,1)="9","CT",IF(RIGHT(C5,1)="10","KR"))))))))))</f>
        <v>AJ</v>
      </c>
      <c r="E5" s="86">
        <f>SUM('Aplikasi Perhitungan'!I43:I78)</f>
        <v>5</v>
      </c>
      <c r="F5" s="86" t="str">
        <f>IF(E5&lt;=0,"Tercapai","Tidak Tercapai")</f>
        <v>Tidak Tercapai</v>
      </c>
      <c r="G5" s="87">
        <f>SUM('Input Data'!D46:D81)</f>
        <v>21</v>
      </c>
    </row>
    <row r="6" spans="2:7" ht="31.5" customHeight="1" x14ac:dyDescent="0.25">
      <c r="B6" s="64" t="s">
        <v>35</v>
      </c>
      <c r="C6" s="86">
        <f>MODE('Aplikasi Perhitungan'!F79:F114)</f>
        <v>3</v>
      </c>
      <c r="D6" s="86" t="str">
        <f>IF(RIGHT(C6,1)="1","Sd",IF(RIGHT(C6,1)="2","AJ",IF(RIGHT(C6,1)="3","PA",IF(RIGHT(C6,1)="4","MK",IF(RIGHT(C6,1)="5","MT",IF(RIGHT(C6,1)="6","BJ",IF(RIGHT(C6,1)="7","HN",IF(RIGHT(C6,1)="8","TS",IF(RIGHT(C6,1)="9","CT",IF(RIGHT(C6,1)="10","KR"))))))))))</f>
        <v>PA</v>
      </c>
      <c r="E6" s="86">
        <f>SUM('Aplikasi Perhitungan'!I79:I114)</f>
        <v>3</v>
      </c>
      <c r="F6" s="86" t="str">
        <f>IF(E6&lt;=0,"Tercapai","Tidak Tercapai")</f>
        <v>Tidak Tercapai</v>
      </c>
      <c r="G6" s="87">
        <f>SUM('Input Data'!D84:D119)</f>
        <v>18</v>
      </c>
    </row>
    <row r="7" spans="2:7" ht="31.5" customHeight="1" thickBot="1" x14ac:dyDescent="0.3">
      <c r="B7" s="65" t="s">
        <v>32</v>
      </c>
      <c r="C7" s="88">
        <f>MODE('Aplikasi Perhitungan'!F115:F150)</f>
        <v>2</v>
      </c>
      <c r="D7" s="88" t="str">
        <f>IF(RIGHT(C7,1)="1","Sd",IF(RIGHT(C7,1)="2","AJ",IF(RIGHT(C7,1)="3","PA",IF(RIGHT(C7,1)="4","MK",IF(RIGHT(C7,1)="5","MT",IF(RIGHT(C7,1)="6","BJ",IF(RIGHT(C7,1)="7","HN",IF(RIGHT(C7,1)="8","TS",IF(RIGHT(C7,1)="9","CT",IF(RIGHT(C7,1)="10","KR"))))))))))</f>
        <v>AJ</v>
      </c>
      <c r="E7" s="88">
        <f>SUM('Aplikasi Perhitungan'!I115:I150)</f>
        <v>2</v>
      </c>
      <c r="F7" s="88" t="str">
        <f>IF(E7&lt;=0,"Tercapai","Tidak Tercapai")</f>
        <v>Tidak Tercapai</v>
      </c>
      <c r="G7" s="89">
        <f>SUM('Input Data'!D122:D157)</f>
        <v>21</v>
      </c>
    </row>
    <row r="8" spans="2:7" x14ac:dyDescent="0.25">
      <c r="B8" s="1"/>
      <c r="C8" s="1"/>
      <c r="D8" s="1"/>
      <c r="E8" s="1"/>
      <c r="F8" s="1"/>
      <c r="G8" s="1"/>
    </row>
    <row r="9" spans="2:7" x14ac:dyDescent="0.25">
      <c r="B9" s="1"/>
      <c r="C9" s="1"/>
      <c r="D9" s="1"/>
      <c r="E9" s="1"/>
      <c r="F9" s="1"/>
      <c r="G9" s="1"/>
    </row>
    <row r="10" spans="2:7" x14ac:dyDescent="0.25">
      <c r="E10" s="52"/>
      <c r="F10" s="1"/>
      <c r="G10" s="1"/>
    </row>
    <row r="11" spans="2:7" x14ac:dyDescent="0.25">
      <c r="D11" s="38"/>
      <c r="E11" s="1"/>
      <c r="F11" s="1"/>
      <c r="G11" s="1"/>
    </row>
    <row r="12" spans="2:7" x14ac:dyDescent="0.25">
      <c r="D12" s="24"/>
      <c r="E12" s="35"/>
      <c r="F12" s="1"/>
      <c r="G12" s="1"/>
    </row>
    <row r="13" spans="2:7" x14ac:dyDescent="0.25">
      <c r="D13" s="24"/>
      <c r="E13" s="1"/>
    </row>
    <row r="14" spans="2:7" x14ac:dyDescent="0.25">
      <c r="D14" s="24"/>
      <c r="E14" s="1"/>
    </row>
    <row r="15" spans="2:7" x14ac:dyDescent="0.25">
      <c r="E15" s="1"/>
    </row>
    <row r="16" spans="2:7" x14ac:dyDescent="0.25">
      <c r="E16" s="1"/>
    </row>
    <row r="17" spans="2:6" x14ac:dyDescent="0.25">
      <c r="D17" s="1"/>
      <c r="E17" s="53"/>
      <c r="F17" s="1"/>
    </row>
    <row r="18" spans="2:6" x14ac:dyDescent="0.25">
      <c r="D18" s="18"/>
      <c r="E18" s="1"/>
      <c r="F18" s="1"/>
    </row>
    <row r="19" spans="2:6" x14ac:dyDescent="0.25">
      <c r="D19" s="18"/>
      <c r="E19" s="1"/>
      <c r="F19" s="1"/>
    </row>
    <row r="20" spans="2:6" x14ac:dyDescent="0.25">
      <c r="D20" s="18"/>
    </row>
    <row r="21" spans="2:6" x14ac:dyDescent="0.25">
      <c r="D21" s="18"/>
    </row>
    <row r="22" spans="2:6" x14ac:dyDescent="0.25">
      <c r="D22" s="18"/>
    </row>
    <row r="31" spans="2:6" ht="15.75" thickBot="1" x14ac:dyDescent="0.3"/>
    <row r="32" spans="2:6" ht="30" customHeight="1" thickBot="1" x14ac:dyDescent="0.3">
      <c r="B32" s="135" t="s">
        <v>48</v>
      </c>
      <c r="C32" s="136"/>
      <c r="D32" s="136"/>
      <c r="E32" s="136"/>
      <c r="F32" s="137"/>
    </row>
    <row r="33" spans="2:6" ht="30" customHeight="1" x14ac:dyDescent="0.25">
      <c r="B33" s="73" t="s">
        <v>43</v>
      </c>
      <c r="C33" s="48">
        <f>SUM(G4:G7)</f>
        <v>77</v>
      </c>
      <c r="D33" s="133" t="s">
        <v>38</v>
      </c>
      <c r="E33" s="78" t="s">
        <v>5</v>
      </c>
      <c r="F33" s="74">
        <f>COUNTIF('Aplikasi Perhitungan'!$J$7:$J$150,"1")</f>
        <v>2</v>
      </c>
    </row>
    <row r="34" spans="2:6" ht="30" x14ac:dyDescent="0.25">
      <c r="B34" s="69" t="s">
        <v>8</v>
      </c>
      <c r="C34" s="71">
        <f>SUM(E4:E7)</f>
        <v>12</v>
      </c>
      <c r="D34" s="133"/>
      <c r="E34" s="79" t="s">
        <v>39</v>
      </c>
      <c r="F34" s="54">
        <f>COUNTIF('Aplikasi Perhitungan'!$J$7:$J$150,"2")</f>
        <v>2</v>
      </c>
    </row>
    <row r="35" spans="2:6" ht="30.75" customHeight="1" thickBot="1" x14ac:dyDescent="0.3">
      <c r="B35" s="70" t="s">
        <v>36</v>
      </c>
      <c r="C35" s="72">
        <f>C33-C34</f>
        <v>65</v>
      </c>
      <c r="D35" s="133"/>
      <c r="E35" s="79" t="s">
        <v>41</v>
      </c>
      <c r="F35" s="54">
        <f>COUNTIF('Aplikasi Perhitungan'!$J$7:$J$150,"3")</f>
        <v>3</v>
      </c>
    </row>
    <row r="36" spans="2:6" ht="30" customHeight="1" thickBot="1" x14ac:dyDescent="0.3">
      <c r="D36" s="134"/>
      <c r="E36" s="80" t="s">
        <v>42</v>
      </c>
      <c r="F36" s="55">
        <f>COUNTIF('Aplikasi Perhitungan'!$J$7:$J$150,"4")</f>
        <v>5</v>
      </c>
    </row>
  </sheetData>
  <mergeCells count="4">
    <mergeCell ref="D33:D36"/>
    <mergeCell ref="B32:F32"/>
    <mergeCell ref="B2:B3"/>
    <mergeCell ref="C2:G2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Data</vt:lpstr>
      <vt:lpstr>Aplikasi Perhitungan</vt:lpstr>
      <vt:lpstr>Status 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Sandi Sopian</dc:creator>
  <cp:lastModifiedBy>Sandi Sopian</cp:lastModifiedBy>
  <dcterms:created xsi:type="dcterms:W3CDTF">2019-10-28T12:36:53Z</dcterms:created>
  <dcterms:modified xsi:type="dcterms:W3CDTF">2020-01-12T17:12:48Z</dcterms:modified>
</cp:coreProperties>
</file>